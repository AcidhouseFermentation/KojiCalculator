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comments/comment13.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23820" windowHeight="19400" tabRatio="500" firstSheet="0" activeTab="1" autoFilterDateGrouping="1"/>
  </bookViews>
  <sheets>
    <sheet xmlns:r="http://schemas.openxmlformats.org/officeDocument/2006/relationships" name="Guide" sheetId="1" state="visible" r:id="rId1"/>
    <sheet xmlns:r="http://schemas.openxmlformats.org/officeDocument/2006/relationships" name="Recipe" sheetId="2" state="visible" r:id="rId2"/>
    <sheet xmlns:r="http://schemas.openxmlformats.org/officeDocument/2006/relationships" name="Plan" sheetId="3" state="visible" r:id="rId3"/>
    <sheet xmlns:r="http://schemas.openxmlformats.org/officeDocument/2006/relationships" name="Quick Calc" sheetId="4" state="visible" r:id="rId4"/>
    <sheet xmlns:r="http://schemas.openxmlformats.org/officeDocument/2006/relationships" name="Koji Ferments" sheetId="5" state="visible" r:id="rId5"/>
    <sheet xmlns:r="http://schemas.openxmlformats.org/officeDocument/2006/relationships" name="Soak Calc" sheetId="6" state="visible" r:id="rId6"/>
    <sheet xmlns:r="http://schemas.openxmlformats.org/officeDocument/2006/relationships" name="Yeast Calc" sheetId="7" state="visible" r:id="rId7"/>
    <sheet xmlns:r="http://schemas.openxmlformats.org/officeDocument/2006/relationships" name="Pasteurization Calc" sheetId="8" state="visible" r:id="rId8"/>
    <sheet xmlns:r="http://schemas.openxmlformats.org/officeDocument/2006/relationships" name="Troubleshooting" sheetId="9" state="visible" r:id="rId9"/>
    <sheet xmlns:r="http://schemas.openxmlformats.org/officeDocument/2006/relationships" name="_Allocations" sheetId="10" state="hidden" r:id="rId10"/>
    <sheet xmlns:r="http://schemas.openxmlformats.org/officeDocument/2006/relationships" name="_Inputs" sheetId="11" state="hidden" r:id="rId11"/>
    <sheet xmlns:r="http://schemas.openxmlformats.org/officeDocument/2006/relationships" name="_Presets" sheetId="12" state="hidden" r:id="rId12"/>
    <sheet xmlns:r="http://schemas.openxmlformats.org/officeDocument/2006/relationships" name="_Constants" sheetId="13" state="hidden" r:id="rId13"/>
    <sheet xmlns:r="http://schemas.openxmlformats.org/officeDocument/2006/relationships" name="_MotoConfig" sheetId="14" state="hidden" r:id="rId14"/>
    <sheet xmlns:r="http://schemas.openxmlformats.org/officeDocument/2006/relationships" name="_Lookups" sheetId="15" state="hidden" r:id="rId15"/>
  </sheets>
  <definedNames>
    <definedName name="_xlnm.Print_Titles" localSheetId="1">'Recipe'!$1:$2</definedName>
    <definedName name="_xlnm.Print_Area" localSheetId="1">'Recipe'!$A$1:$G$74</definedName>
    <definedName name="_xlnm.Print_Area" localSheetId="2">'Plan'!$A$1:$H$50</definedName>
  </definedNames>
  <calcPr calcId="191029" fullCalcOnLoad="1" iterateDelta="0.0001"/>
</workbook>
</file>

<file path=xl/styles.xml><?xml version="1.0" encoding="utf-8"?>
<styleSheet xmlns="http://schemas.openxmlformats.org/spreadsheetml/2006/main">
  <numFmts count="11">
    <numFmt numFmtId="164" formatCode="0.0"/>
    <numFmt numFmtId="165" formatCode="0.00;\-0.00;&quot;&quot;"/>
    <numFmt numFmtId="166" formatCode="0\%"/>
    <numFmt numFmtId="167" formatCode="#,##0.00;\-#,##0.00;\-"/>
    <numFmt numFmtId="168" formatCode="#,##0.0"/>
    <numFmt numFmtId="169" formatCode="0.000"/>
    <numFmt numFmtId="170" formatCode="mm/dd\ hh:mm"/>
    <numFmt numFmtId="171" formatCode="0.00&quot; kg&quot;"/>
    <numFmt numFmtId="172" formatCode="mm/dd"/>
    <numFmt numFmtId="173" formatCode="m/d h:mm"/>
    <numFmt numFmtId="174" formatCode="m/d"/>
  </numFmts>
  <fonts count="74">
    <font>
      <name val="Calibri"/>
      <charset val="1"/>
      <family val="2"/>
      <color theme="1"/>
      <sz val="11"/>
    </font>
    <font>
      <name val="Arial"/>
      <family val="2"/>
      <sz val="10"/>
    </font>
    <font>
      <name val="Cambria"/>
      <family val="1"/>
      <b val="1"/>
      <sz val="18"/>
    </font>
    <font>
      <name val="Cambria"/>
      <family val="1"/>
      <sz val="11"/>
    </font>
    <font>
      <name val="Cambria"/>
      <family val="1"/>
      <i val="1"/>
      <color rgb="FF666666"/>
      <sz val="11"/>
    </font>
    <font>
      <name val="Cambria"/>
      <family val="1"/>
      <i val="1"/>
      <color rgb="FF666666"/>
      <sz val="10"/>
    </font>
    <font>
      <name val="Cambria"/>
      <family val="1"/>
      <b val="1"/>
      <color rgb="FFFFFFFF"/>
      <sz val="12"/>
    </font>
    <font>
      <name val="Cambria"/>
      <family val="1"/>
      <b val="1"/>
      <sz val="10"/>
    </font>
    <font>
      <name val="Cambria"/>
      <family val="1"/>
      <sz val="10"/>
    </font>
    <font>
      <name val="Cambria"/>
      <family val="1"/>
      <b val="1"/>
      <sz val="11"/>
    </font>
    <font>
      <name val="Noto Sans CJK SC"/>
      <family val="2"/>
      <b val="1"/>
      <sz val="11"/>
    </font>
    <font>
      <name val="Cambria"/>
      <family val="1"/>
      <color rgb="FF4E6E7E"/>
      <sz val="10"/>
    </font>
    <font>
      <name val="Noto Sans CJK SC"/>
      <family val="2"/>
      <color rgb="FF4E6E7E"/>
      <sz val="10"/>
    </font>
    <font>
      <name val="Cambria"/>
      <charset val="1"/>
      <family val="1"/>
      <b val="1"/>
      <color rgb="FF1A1A2E"/>
      <sz val="14"/>
    </font>
    <font>
      <name val="Cambria"/>
      <charset val="1"/>
      <family val="1"/>
      <sz val="11"/>
    </font>
    <font>
      <name val="Cambria"/>
      <family val="1"/>
      <b val="1"/>
      <color rgb="FFFFFFFF"/>
      <sz val="11"/>
    </font>
    <font>
      <name val="Cambria"/>
      <charset val="1"/>
      <family val="1"/>
      <b val="1"/>
      <color rgb="FFFFFFFF"/>
      <sz val="11"/>
    </font>
    <font>
      <name val="Cambria"/>
      <charset val="1"/>
      <family val="1"/>
      <b val="1"/>
      <color rgb="FF1A1A2E"/>
      <sz val="10"/>
    </font>
    <font>
      <name val="Cambria"/>
      <charset val="1"/>
      <family val="1"/>
      <color rgb="FF1A1A2E"/>
      <sz val="10"/>
    </font>
    <font>
      <name val="Cambria"/>
      <charset val="1"/>
      <family val="1"/>
      <i val="1"/>
      <color rgb="FF666666"/>
      <sz val="8"/>
    </font>
    <font>
      <name val="Cambria"/>
      <family val="1"/>
      <i val="1"/>
      <color rgb="FF888888"/>
      <sz val="11"/>
    </font>
    <font>
      <name val="Calibri"/>
      <charset val="1"/>
      <family val="2"/>
      <b val="1"/>
      <color rgb="FFFFFFFF"/>
      <sz val="11"/>
    </font>
    <font>
      <name val="Calibri"/>
      <charset val="1"/>
      <family val="2"/>
      <sz val="11"/>
    </font>
    <font>
      <name val="Cambria"/>
      <charset val="1"/>
      <family val="1"/>
      <b val="1"/>
      <color rgb="FF2E7D32"/>
      <sz val="10"/>
    </font>
    <font>
      <name val="Cambria"/>
      <family val="1"/>
      <color rgb="FF666666"/>
      <sz val="11"/>
    </font>
    <font>
      <name val="Cambria"/>
      <family val="1"/>
      <b val="1"/>
      <sz val="9"/>
    </font>
    <font>
      <name val="Cambria"/>
      <family val="1"/>
      <i val="1"/>
      <color rgb="FF666666"/>
      <sz val="8"/>
    </font>
    <font>
      <name val="Noto Sans CJK SC"/>
      <family val="2"/>
      <sz val="10"/>
    </font>
    <font>
      <name val="Cambria"/>
      <family val="1"/>
      <b val="1"/>
      <sz val="14"/>
    </font>
    <font>
      <name val="Noto Sans CJK SC"/>
      <charset val="1"/>
      <family val="2"/>
      <color theme="1"/>
      <sz val="11"/>
    </font>
    <font>
      <name val="Noto Sans CJK SC"/>
      <family val="2"/>
      <color theme="1"/>
      <sz val="11"/>
    </font>
    <font>
      <name val="Cambria"/>
      <family val="1"/>
      <i val="1"/>
      <sz val="9"/>
    </font>
    <font>
      <name val="Cambria"/>
      <charset val="1"/>
      <family val="1"/>
      <b val="1"/>
      <sz val="11"/>
    </font>
    <font>
      <name val="Cambria"/>
      <family val="1"/>
      <color rgb="FF1F4E79"/>
      <sz val="11"/>
    </font>
    <font>
      <name val="Arial"/>
      <family val="2"/>
      <color rgb="FF000000"/>
      <sz val="10"/>
    </font>
    <font>
      <name val="Noto Sans CJK SC"/>
      <family val="2"/>
      <color rgb="FF000000"/>
      <sz val="10"/>
    </font>
    <font>
      <name val="Cambria"/>
      <b val="1"/>
      <sz val="11"/>
    </font>
    <font>
      <name val="Calibri"/>
      <b val="1"/>
      <color theme="1"/>
      <sz val="11"/>
    </font>
    <font>
      <name val="Cambria"/>
      <sz val="11"/>
    </font>
    <font>
      <name val="Calibri"/>
      <color theme="1"/>
      <sz val="11"/>
    </font>
    <font>
      <b val="1"/>
      <color rgb="FFFFFFFF"/>
    </font>
    <font>
      <b val="1"/>
      <sz val="14"/>
    </font>
    <font>
      <i val="1"/>
      <color rgb="00666666"/>
    </font>
    <font>
      <b val="1"/>
    </font>
    <font>
      <b val="1"/>
      <color rgb="00FFFFFF"/>
    </font>
    <font>
      <i val="1"/>
      <color rgb="00666666"/>
      <sz val="9"/>
    </font>
    <font>
      <b val="1"/>
      <sz val="11"/>
    </font>
    <font>
      <i val="1"/>
    </font>
    <font/>
    <font>
      <b val="1"/>
      <sz val="12"/>
    </font>
    <font>
      <sz val="10"/>
    </font>
    <font>
      <b val="1"/>
      <sz val="10"/>
    </font>
    <font>
      <i val="1"/>
      <sz val="10"/>
    </font>
    <font>
      <color rgb="000563C1"/>
      <sz val="10"/>
      <u val="single"/>
    </font>
    <font>
      <sz val="11"/>
    </font>
    <font>
      <b val="1"/>
      <color rgb="00FFFFFF"/>
      <sz val="11"/>
    </font>
    <font>
      <b val="1"/>
      <color rgb="001A1A2E"/>
      <sz val="14"/>
    </font>
    <font>
      <b val="1"/>
      <color rgb="001A1A2E"/>
      <sz val="16"/>
    </font>
    <font>
      <i val="1"/>
      <sz val="9"/>
    </font>
    <font>
      <color rgb="000066CC"/>
      <sz val="10"/>
      <u val="single"/>
    </font>
    <font>
      <b val="1"/>
      <color rgb="001A1A2E"/>
    </font>
    <font>
      <i val="1"/>
      <color rgb="00666666"/>
      <sz val="11"/>
    </font>
    <font>
      <color rgb="00999999"/>
      <sz val="9"/>
    </font>
    <font>
      <color rgb="00FF0000"/>
      <sz val="8"/>
    </font>
    <font>
      <name val="Calibri"/>
      <family val="2"/>
      <b val="1"/>
      <color rgb="FFFFFFFF"/>
      <sz val="14"/>
    </font>
    <font>
      <name val="Calibri"/>
      <family val="2"/>
      <i val="1"/>
      <color rgb="FF666666"/>
      <sz val="11"/>
    </font>
    <font>
      <name val="Calibri"/>
      <family val="2"/>
      <color rgb="FF999999"/>
      <sz val="9"/>
    </font>
    <font>
      <name val="Calibri"/>
      <family val="2"/>
      <b val="1"/>
      <color rgb="FFFFFFFF"/>
      <sz val="11"/>
    </font>
    <font>
      <name val="Calibri"/>
      <family val="2"/>
      <sz val="10"/>
    </font>
    <font>
      <name val="Calibri"/>
      <family val="2"/>
      <b val="1"/>
      <color rgb="FF0000FF"/>
      <sz val="14"/>
      <u val="single"/>
    </font>
    <font>
      <name val="Calibri"/>
      <family val="2"/>
      <b val="1"/>
      <sz val="10"/>
    </font>
    <font>
      <name val="Calibri"/>
      <b val="1"/>
      <color rgb="00FFFFFF"/>
      <sz val="11"/>
    </font>
    <font>
      <name val="Calibri"/>
      <sz val="11"/>
    </font>
    <font>
      <name val="Calibri"/>
      <b val="1"/>
      <sz val="11"/>
    </font>
  </fonts>
  <fills count="32">
    <fill>
      <patternFill/>
    </fill>
    <fill>
      <patternFill patternType="gray125"/>
    </fill>
    <fill>
      <patternFill patternType="solid">
        <fgColor rgb="FF4E6E7E"/>
        <bgColor rgb="FF666666"/>
      </patternFill>
    </fill>
    <fill>
      <patternFill patternType="solid">
        <fgColor rgb="FFCCEBFF"/>
        <bgColor rgb="FFDAEEF3"/>
      </patternFill>
    </fill>
    <fill>
      <patternFill patternType="solid">
        <fgColor rgb="FFE8F5E9"/>
        <bgColor rgb="FFF0F0F0"/>
      </patternFill>
    </fill>
    <fill>
      <patternFill patternType="solid">
        <fgColor rgb="FFF0F0F0"/>
        <bgColor rgb="FFE8F5E9"/>
      </patternFill>
    </fill>
    <fill>
      <patternFill patternType="solid">
        <fgColor rgb="FFFFFFFF"/>
        <bgColor rgb="FFF5F8FA"/>
      </patternFill>
    </fill>
    <fill>
      <patternFill patternType="solid">
        <fgColor rgb="FF4F5D5E"/>
        <bgColor rgb="FF666666"/>
      </patternFill>
    </fill>
    <fill>
      <patternFill patternType="solid">
        <fgColor rgb="FFB8CCE4"/>
        <bgColor rgb="FFD9D9D9"/>
      </patternFill>
    </fill>
    <fill>
      <patternFill patternType="solid">
        <fgColor rgb="FFDAEEF3"/>
        <bgColor rgb="FFCCEBFF"/>
      </patternFill>
    </fill>
    <fill>
      <patternFill patternType="solid">
        <fgColor rgb="FF1A535C"/>
        <bgColor rgb="FF1F4E79"/>
      </patternFill>
    </fill>
    <fill>
      <patternFill patternType="solid">
        <fgColor rgb="FFF5F8FA"/>
        <bgColor rgb="FFF0F0F0"/>
      </patternFill>
    </fill>
    <fill>
      <patternFill patternType="solid">
        <fgColor rgb="FFC6EFCE"/>
        <bgColor rgb="FFDAEEF3"/>
      </patternFill>
    </fill>
    <fill>
      <patternFill patternType="solid">
        <fgColor rgb="FFFFEB9C"/>
        <bgColor rgb="FFE8D4A8"/>
      </patternFill>
    </fill>
    <fill>
      <patternFill patternType="solid">
        <fgColor rgb="FFFFD9D9"/>
        <bgColor rgb="FFFFCCCC"/>
      </patternFill>
    </fill>
    <fill>
      <patternFill patternType="solid">
        <fgColor rgb="FF4E6E7E"/>
        <bgColor rgb="FF4E6E7E"/>
      </patternFill>
    </fill>
    <fill>
      <patternFill patternType="solid">
        <fgColor rgb="FFCCEBFF"/>
        <bgColor rgb="FFCCEBFF"/>
      </patternFill>
    </fill>
    <fill>
      <patternFill patternType="solid">
        <fgColor rgb="FFF0F0F0"/>
        <bgColor rgb="FFF0F0F0"/>
      </patternFill>
    </fill>
    <fill>
      <patternFill patternType="solid">
        <fgColor rgb="FFE8F5E9"/>
        <bgColor rgb="FFE8F5E9"/>
      </patternFill>
    </fill>
    <fill>
      <patternFill patternType="solid">
        <fgColor rgb="00CCEBFF"/>
        <bgColor rgb="00CCEBFF"/>
      </patternFill>
    </fill>
    <fill>
      <patternFill patternType="solid">
        <fgColor rgb="00F0F0F0"/>
        <bgColor rgb="00F0F0F0"/>
      </patternFill>
    </fill>
    <fill>
      <patternFill patternType="solid">
        <fgColor rgb="00E8F5E9"/>
        <bgColor rgb="00E8F5E9"/>
      </patternFill>
    </fill>
    <fill>
      <patternFill patternType="solid">
        <fgColor rgb="004E6E7E"/>
        <bgColor rgb="004E6E7E"/>
      </patternFill>
    </fill>
    <fill>
      <patternFill patternType="solid">
        <fgColor rgb="004F5D5E"/>
        <bgColor rgb="004F5D5E"/>
      </patternFill>
    </fill>
    <fill>
      <patternFill patternType="solid">
        <fgColor rgb="006A8A9A"/>
        <bgColor rgb="006A8A9A"/>
      </patternFill>
    </fill>
    <fill>
      <patternFill patternType="solid">
        <fgColor rgb="00FFFFFF"/>
        <bgColor rgb="00FFFFFF"/>
      </patternFill>
    </fill>
    <fill>
      <patternFill patternType="solid">
        <fgColor rgb="00FFCCCC"/>
        <bgColor rgb="00FFCCCC"/>
      </patternFill>
    </fill>
    <fill>
      <patternFill patternType="solid">
        <fgColor rgb="FFB8CCE4"/>
        <bgColor rgb="FFB8CCE4"/>
      </patternFill>
    </fill>
    <fill>
      <patternFill patternType="solid"/>
    </fill>
    <fill>
      <patternFill patternType="solid">
        <fgColor rgb="FFFFFFFF"/>
        <bgColor rgb="FFFFFFFF"/>
      </patternFill>
    </fill>
    <fill>
      <patternFill patternType="solid">
        <fgColor rgb="FF6A8A9A"/>
        <bgColor rgb="FF6A8A9A"/>
      </patternFill>
    </fill>
    <fill>
      <patternFill patternType="solid">
        <fgColor rgb="004472C4"/>
        <bgColor rgb="004472C4"/>
      </patternFill>
    </fill>
  </fills>
  <borders count="4">
    <border>
      <left/>
      <right/>
      <top/>
      <bottom/>
      <diagonal/>
    </border>
    <border>
      <left style="thin">
        <color rgb="FF9DB4C0"/>
      </left>
      <right style="thin">
        <color rgb="FF9DB4C0"/>
      </right>
      <top style="thin">
        <color rgb="FF9DB4C0"/>
      </top>
      <bottom style="thin">
        <color rgb="FF9DB4C0"/>
      </bottom>
      <diagonal/>
    </border>
    <border>
      <left/>
      <right style="thin">
        <color rgb="FF9DB4C0"/>
      </right>
      <top/>
      <bottom style="thin">
        <color rgb="FF9DB4C0"/>
      </bottom>
      <diagonal/>
    </border>
    <border>
      <left style="thin">
        <color auto="1"/>
      </left>
      <right style="thin">
        <color auto="1"/>
      </right>
      <top style="thin">
        <color auto="1"/>
      </top>
      <bottom style="thin">
        <color auto="1"/>
      </bottom>
      <diagonal/>
    </border>
  </borders>
  <cellStyleXfs count="1">
    <xf numFmtId="0" fontId="0" fillId="0" borderId="0"/>
  </cellStyleXfs>
  <cellXfs count="295">
    <xf numFmtId="0" fontId="0" fillId="0" borderId="0" pivotButton="0" quotePrefix="0" xfId="0"/>
    <xf numFmtId="0" fontId="15" fillId="7" borderId="0" pivotButton="0" quotePrefix="0" xfId="0"/>
    <xf numFmtId="0" fontId="15" fillId="2" borderId="0" pivotButton="0" quotePrefix="0" xfId="0"/>
    <xf numFmtId="0" fontId="8"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0"/>
    <xf numFmtId="0" fontId="3" fillId="2" borderId="0" pivotButton="0" quotePrefix="0" xfId="0"/>
    <xf numFmtId="0" fontId="7" fillId="0" borderId="0" pivotButton="0" quotePrefix="0" xfId="0"/>
    <xf numFmtId="0" fontId="8" fillId="0" borderId="0" pivotButton="0" quotePrefix="0" xfId="0"/>
    <xf numFmtId="0" fontId="3" fillId="3" borderId="0" pivotButton="0" quotePrefix="0" xfId="0"/>
    <xf numFmtId="0" fontId="3" fillId="4" borderId="0" pivotButton="0" quotePrefix="0" xfId="0"/>
    <xf numFmtId="0" fontId="3" fillId="5" borderId="0" pivotButton="0" quotePrefix="0" xfId="0"/>
    <xf numFmtId="0" fontId="9" fillId="0" borderId="0" pivotButton="0" quotePrefix="0" xfId="0"/>
    <xf numFmtId="0" fontId="0" fillId="2" borderId="0" pivotButton="0" quotePrefix="0" xfId="0"/>
    <xf numFmtId="0" fontId="11" fillId="0" borderId="0" pivotButton="0" quotePrefix="0" xfId="0"/>
    <xf numFmtId="0" fontId="13" fillId="0" borderId="0" pivotButton="0" quotePrefix="0" xfId="0"/>
    <xf numFmtId="0" fontId="14" fillId="0" borderId="0" pivotButton="0" quotePrefix="0" xfId="0"/>
    <xf numFmtId="0" fontId="14" fillId="0" borderId="0" applyAlignment="1" pivotButton="0" quotePrefix="0" xfId="0">
      <alignment wrapText="1"/>
    </xf>
    <xf numFmtId="0" fontId="15" fillId="2" borderId="0" pivotButton="0" quotePrefix="0" xfId="0"/>
    <xf numFmtId="0" fontId="16" fillId="2" borderId="0" pivotButton="0" quotePrefix="0" xfId="0"/>
    <xf numFmtId="0" fontId="14" fillId="2" borderId="0" pivotButton="0" quotePrefix="0" xfId="0"/>
    <xf numFmtId="0" fontId="17" fillId="6" borderId="0" pivotButton="0" quotePrefix="0" xfId="0"/>
    <xf numFmtId="2" fontId="18" fillId="4" borderId="0" applyAlignment="1" pivotButton="0" quotePrefix="0" xfId="0">
      <alignment horizontal="right"/>
    </xf>
    <xf numFmtId="0" fontId="19" fillId="0" borderId="0" pivotButton="0" quotePrefix="0" xfId="0"/>
    <xf numFmtId="2" fontId="14" fillId="0" borderId="0" pivotButton="0" quotePrefix="0" xfId="0"/>
    <xf numFmtId="2" fontId="18" fillId="3" borderId="0" pivotButton="0" quotePrefix="0" xfId="0"/>
    <xf numFmtId="2" fontId="20" fillId="0" borderId="1" pivotButton="0" quotePrefix="0" xfId="0"/>
    <xf numFmtId="0" fontId="0" fillId="3" borderId="0" pivotButton="0" quotePrefix="0" xfId="0"/>
    <xf numFmtId="1" fontId="0" fillId="4" borderId="0" applyAlignment="1" pivotButton="0" quotePrefix="0" xfId="0">
      <alignment horizontal="center"/>
    </xf>
    <xf numFmtId="0" fontId="0" fillId="4" borderId="0" pivotButton="0" quotePrefix="0" xfId="0"/>
    <xf numFmtId="1" fontId="0" fillId="4" borderId="0" pivotButton="0" quotePrefix="0" xfId="0"/>
    <xf numFmtId="0" fontId="0" fillId="5" borderId="0" pivotButton="0" quotePrefix="0" xfId="0"/>
    <xf numFmtId="0" fontId="21" fillId="2" borderId="0" pivotButton="0" quotePrefix="0" xfId="0"/>
    <xf numFmtId="2" fontId="18" fillId="5" borderId="0" pivotButton="0" quotePrefix="0" xfId="0"/>
    <xf numFmtId="0" fontId="17" fillId="0" borderId="0" pivotButton="0" quotePrefix="0" xfId="0"/>
    <xf numFmtId="0" fontId="18" fillId="0" borderId="0" pivotButton="0" quotePrefix="0" xfId="0"/>
    <xf numFmtId="2" fontId="0" fillId="5" borderId="0" pivotButton="0" quotePrefix="0" xfId="0"/>
    <xf numFmtId="164" fontId="17" fillId="0" borderId="0" pivotButton="0" quotePrefix="0" xfId="0"/>
    <xf numFmtId="165" fontId="17" fillId="0" borderId="0" pivotButton="0" quotePrefix="0" xfId="0"/>
    <xf numFmtId="165" fontId="14" fillId="0" borderId="0" pivotButton="0" quotePrefix="0" xfId="0"/>
    <xf numFmtId="2" fontId="22" fillId="0" borderId="1" pivotButton="0" quotePrefix="0" xfId="0"/>
    <xf numFmtId="166" fontId="0" fillId="5" borderId="0" pivotButton="0" quotePrefix="0" xfId="0"/>
    <xf numFmtId="2" fontId="23" fillId="5" borderId="0" pivotButton="0" quotePrefix="0" xfId="0"/>
    <xf numFmtId="0" fontId="17" fillId="6" borderId="0" applyAlignment="1" pivotButton="0" quotePrefix="0" xfId="0">
      <alignment horizontal="center"/>
    </xf>
    <xf numFmtId="2" fontId="18" fillId="3" borderId="0" applyAlignment="1" pivotButton="0" quotePrefix="0" xfId="0">
      <alignment horizontal="center"/>
    </xf>
    <xf numFmtId="165" fontId="17" fillId="0" borderId="0" applyAlignment="1" pivotButton="0" quotePrefix="0" xfId="0">
      <alignment horizontal="center"/>
    </xf>
    <xf numFmtId="165" fontId="14" fillId="0" borderId="0" applyAlignment="1" pivotButton="0" quotePrefix="0" xfId="0">
      <alignment horizontal="center"/>
    </xf>
    <xf numFmtId="165" fontId="18" fillId="0" borderId="0" applyAlignment="1" pivotButton="0" quotePrefix="0" xfId="0">
      <alignment horizontal="center"/>
    </xf>
    <xf numFmtId="2" fontId="14" fillId="5" borderId="0" applyAlignment="1" pivotButton="0" quotePrefix="0" xfId="0">
      <alignment horizontal="right"/>
    </xf>
    <xf numFmtId="2" fontId="14" fillId="0" borderId="0" applyAlignment="1" pivotButton="0" quotePrefix="0" xfId="0">
      <alignment horizontal="right"/>
    </xf>
    <xf numFmtId="164" fontId="14" fillId="0" borderId="0" applyAlignment="1" pivotButton="0" quotePrefix="0" xfId="0">
      <alignment horizontal="right"/>
    </xf>
    <xf numFmtId="0" fontId="15" fillId="7" borderId="1" applyAlignment="1" pivotButton="0" quotePrefix="0" xfId="0">
      <alignment horizontal="center"/>
    </xf>
    <xf numFmtId="0" fontId="15" fillId="7" borderId="0" applyAlignment="1" pivotButton="0" quotePrefix="0" xfId="0">
      <alignment horizontal="center"/>
    </xf>
    <xf numFmtId="0" fontId="15" fillId="0" borderId="0" pivotButton="0" quotePrefix="0" xfId="0"/>
    <xf numFmtId="0" fontId="17" fillId="6" borderId="1" pivotButton="0" quotePrefix="0" xfId="0"/>
    <xf numFmtId="167" fontId="18" fillId="5" borderId="0" applyAlignment="1" pivotButton="0" quotePrefix="0" xfId="0">
      <alignment horizontal="right"/>
    </xf>
    <xf numFmtId="2" fontId="18" fillId="5" borderId="0" applyAlignment="1" pivotButton="0" quotePrefix="0" xfId="0">
      <alignment horizontal="right"/>
    </xf>
    <xf numFmtId="167" fontId="23" fillId="5" borderId="0" pivotButton="0" quotePrefix="0" xfId="0"/>
    <xf numFmtId="167" fontId="20" fillId="5" borderId="0" pivotButton="0" quotePrefix="0" xfId="0"/>
    <xf numFmtId="167" fontId="3" fillId="0" borderId="1" pivotButton="0" quotePrefix="0" xfId="0"/>
    <xf numFmtId="2" fontId="3" fillId="0" borderId="1" pivotButton="0" quotePrefix="0" xfId="0"/>
    <xf numFmtId="0" fontId="9" fillId="0" borderId="2" pivotButton="0" quotePrefix="0" xfId="0"/>
    <xf numFmtId="164" fontId="9" fillId="5" borderId="0" pivotButton="0" quotePrefix="0" xfId="0"/>
    <xf numFmtId="1" fontId="3" fillId="5" borderId="0" applyAlignment="1" pivotButton="0" quotePrefix="0" xfId="0">
      <alignment horizontal="right"/>
    </xf>
    <xf numFmtId="168" fontId="3" fillId="0" borderId="0" applyAlignment="1" pivotButton="0" quotePrefix="0" xfId="0">
      <alignment horizontal="right"/>
    </xf>
    <xf numFmtId="2" fontId="3" fillId="0" borderId="1" applyAlignment="1" pivotButton="0" quotePrefix="0" xfId="0">
      <alignment horizontal="right"/>
    </xf>
    <xf numFmtId="1" fontId="3" fillId="0" borderId="1" applyAlignment="1" pivotButton="0" quotePrefix="0" xfId="0">
      <alignment horizontal="right"/>
    </xf>
    <xf numFmtId="0" fontId="3" fillId="0" borderId="0" applyAlignment="1" pivotButton="0" quotePrefix="0" xfId="0">
      <alignment horizontal="right"/>
    </xf>
    <xf numFmtId="0" fontId="24" fillId="0" borderId="0" pivotButton="0" quotePrefix="0" xfId="0"/>
    <xf numFmtId="2" fontId="24" fillId="5" borderId="0" applyAlignment="1" pivotButton="0" quotePrefix="0" xfId="0">
      <alignment horizontal="right"/>
    </xf>
    <xf numFmtId="2" fontId="3" fillId="0" borderId="0" applyAlignment="1" pivotButton="0" quotePrefix="0" xfId="0">
      <alignment horizontal="right"/>
    </xf>
    <xf numFmtId="2" fontId="3" fillId="5" borderId="0" pivotButton="0" quotePrefix="0" xfId="0"/>
    <xf numFmtId="0" fontId="25" fillId="0" borderId="0" pivotButton="0" quotePrefix="0" xfId="0"/>
    <xf numFmtId="0" fontId="26" fillId="0" borderId="0" pivotButton="0" quotePrefix="0" xfId="0"/>
    <xf numFmtId="2" fontId="0" fillId="4" borderId="0" pivotButton="0" quotePrefix="0" xfId="0"/>
    <xf numFmtId="169" fontId="3" fillId="2" borderId="0" pivotButton="0" quotePrefix="0" xfId="0"/>
    <xf numFmtId="169" fontId="3" fillId="5" borderId="0" pivotButton="0" quotePrefix="0" xfId="0"/>
    <xf numFmtId="169" fontId="3" fillId="3" borderId="0" pivotButton="0" quotePrefix="0" xfId="0"/>
    <xf numFmtId="169" fontId="3" fillId="0" borderId="0" pivotButton="0" quotePrefix="0" xfId="0"/>
    <xf numFmtId="169" fontId="9" fillId="0" borderId="0" pivotButton="0" quotePrefix="0" xfId="0"/>
    <xf numFmtId="0" fontId="28" fillId="0" borderId="0" pivotButton="0" quotePrefix="0" xfId="0"/>
    <xf numFmtId="0" fontId="20" fillId="0" borderId="0" pivotButton="0" quotePrefix="0" xfId="0"/>
    <xf numFmtId="170" fontId="3" fillId="4" borderId="0" pivotButton="0" quotePrefix="0" xfId="0"/>
    <xf numFmtId="164" fontId="3" fillId="5" borderId="0" pivotButton="0" quotePrefix="0" xfId="0"/>
    <xf numFmtId="171" fontId="3" fillId="5" borderId="0" pivotButton="0" quotePrefix="0" xfId="0"/>
    <xf numFmtId="1" fontId="3" fillId="5" borderId="0" pivotButton="0" quotePrefix="0" xfId="0"/>
    <xf numFmtId="170" fontId="3" fillId="5" borderId="0" pivotButton="0" quotePrefix="0" xfId="0"/>
    <xf numFmtId="170" fontId="3" fillId="0" borderId="0" pivotButton="0" quotePrefix="0" xfId="0"/>
    <xf numFmtId="0" fontId="9" fillId="5" borderId="0" pivotButton="0" quotePrefix="0" xfId="0"/>
    <xf numFmtId="2" fontId="3" fillId="0" borderId="0" pivotButton="0" quotePrefix="0" xfId="0"/>
    <xf numFmtId="172" fontId="3" fillId="0" borderId="0" pivotButton="0" quotePrefix="0" xfId="0"/>
    <xf numFmtId="1" fontId="3" fillId="0" borderId="0" pivotButton="0" quotePrefix="0" xfId="0"/>
    <xf numFmtId="164" fontId="3" fillId="0" borderId="0" pivotButton="0" quotePrefix="0" xfId="0"/>
    <xf numFmtId="172" fontId="0" fillId="0" borderId="0" pivotButton="0" quotePrefix="0" xfId="0"/>
    <xf numFmtId="1" fontId="0" fillId="5" borderId="0" pivotButton="0" quotePrefix="0" xfId="0"/>
    <xf numFmtId="164" fontId="0" fillId="5" borderId="0" pivotButton="0" quotePrefix="0" xfId="0"/>
    <xf numFmtId="172" fontId="0" fillId="5" borderId="0" pivotButton="0" quotePrefix="0" xfId="0"/>
    <xf numFmtId="1" fontId="0" fillId="0" borderId="0" pivotButton="0" quotePrefix="0" xfId="0"/>
    <xf numFmtId="164" fontId="0" fillId="0" borderId="0" pivotButton="0" quotePrefix="0" xfId="0"/>
    <xf numFmtId="0" fontId="0" fillId="0" borderId="0" applyAlignment="1" pivotButton="0" quotePrefix="0" xfId="0">
      <alignment horizontal="center" vertical="center"/>
    </xf>
    <xf numFmtId="0" fontId="9" fillId="8" borderId="0" pivotButton="0" quotePrefix="0" xfId="0"/>
    <xf numFmtId="0" fontId="29" fillId="0" borderId="0" pivotButton="0" quotePrefix="0" xfId="0"/>
    <xf numFmtId="1" fontId="9" fillId="0" borderId="0" pivotButton="0" quotePrefix="0" xfId="0"/>
    <xf numFmtId="0" fontId="31" fillId="0" borderId="0" pivotButton="0" quotePrefix="0" xfId="0"/>
    <xf numFmtId="0" fontId="32" fillId="0" borderId="0" pivotButton="0" quotePrefix="0" xfId="0"/>
    <xf numFmtId="0" fontId="33" fillId="9" borderId="0" pivotButton="0" quotePrefix="0" xfId="0"/>
    <xf numFmtId="0" fontId="33" fillId="4" borderId="0" pivotButton="0" quotePrefix="0" xfId="0"/>
    <xf numFmtId="164" fontId="33" fillId="5" borderId="0" pivotButton="0" quotePrefix="0" xfId="0"/>
    <xf numFmtId="0" fontId="33" fillId="9" borderId="0" applyAlignment="1" pivotButton="0" quotePrefix="0" xfId="0">
      <alignment horizontal="center" vertical="center"/>
    </xf>
    <xf numFmtId="0" fontId="33" fillId="9" borderId="1" applyAlignment="1" pivotButton="0" quotePrefix="0" xfId="0">
      <alignment horizontal="center" vertical="center"/>
    </xf>
    <xf numFmtId="0" fontId="18" fillId="0" borderId="0" applyAlignment="1" pivotButton="0" quotePrefix="0" xfId="0">
      <alignment horizontal="center" vertical="center"/>
    </xf>
    <xf numFmtId="0" fontId="33" fillId="9" borderId="1" pivotButton="0" quotePrefix="0" xfId="0"/>
    <xf numFmtId="0" fontId="18" fillId="4" borderId="0" pivotButton="0" quotePrefix="0" xfId="0"/>
    <xf numFmtId="0" fontId="18" fillId="5" borderId="0" pivotButton="0" quotePrefix="0" xfId="0"/>
    <xf numFmtId="0" fontId="16" fillId="10" borderId="1" applyAlignment="1" pivotButton="0" quotePrefix="0" xfId="0">
      <alignment horizontal="center"/>
    </xf>
    <xf numFmtId="167" fontId="16" fillId="10" borderId="1" applyAlignment="1" pivotButton="0" quotePrefix="0" xfId="0">
      <alignment horizontal="center"/>
    </xf>
    <xf numFmtId="167" fontId="33" fillId="5" borderId="0" pivotButton="0" quotePrefix="0" xfId="0"/>
    <xf numFmtId="0" fontId="17" fillId="11" borderId="1" pivotButton="0" quotePrefix="0" xfId="0"/>
    <xf numFmtId="167" fontId="18" fillId="5" borderId="0" pivotButton="0" quotePrefix="0" xfId="0"/>
    <xf numFmtId="0" fontId="18" fillId="11" borderId="1" pivotButton="0" quotePrefix="0" xfId="0"/>
    <xf numFmtId="2" fontId="18" fillId="11" borderId="1" pivotButton="0" quotePrefix="0" xfId="0"/>
    <xf numFmtId="0" fontId="32" fillId="0" borderId="3" pivotButton="0" quotePrefix="0" xfId="0"/>
    <xf numFmtId="0" fontId="0" fillId="0" borderId="3" pivotButton="0" quotePrefix="0" xfId="0"/>
    <xf numFmtId="164" fontId="0" fillId="4" borderId="0" pivotButton="0" quotePrefix="0" xfId="0"/>
    <xf numFmtId="167" fontId="18" fillId="6" borderId="1" pivotButton="0" quotePrefix="0" xfId="0"/>
    <xf numFmtId="2" fontId="18" fillId="0" borderId="0" pivotButton="0" quotePrefix="0" xfId="0"/>
    <xf numFmtId="167" fontId="18" fillId="0" borderId="0" pivotButton="0" quotePrefix="0" xfId="0"/>
    <xf numFmtId="0" fontId="17" fillId="6" borderId="0" applyAlignment="1" pivotButton="0" quotePrefix="0" xfId="0">
      <alignment horizontal="center" vertical="center"/>
    </xf>
    <xf numFmtId="0" fontId="18" fillId="6" borderId="1" applyAlignment="1" pivotButton="0" quotePrefix="0" xfId="0">
      <alignment horizontal="center" vertical="center"/>
    </xf>
    <xf numFmtId="2" fontId="0" fillId="0" borderId="0" pivotButton="0" quotePrefix="0" xfId="0"/>
    <xf numFmtId="9" fontId="0" fillId="5" borderId="0" pivotButton="0" quotePrefix="0" xfId="0"/>
    <xf numFmtId="2" fontId="18" fillId="6" borderId="1" pivotButton="0" quotePrefix="0" xfId="0"/>
    <xf numFmtId="169" fontId="18" fillId="0" borderId="0" pivotButton="0" quotePrefix="0" xfId="0"/>
    <xf numFmtId="0" fontId="18" fillId="6" borderId="1" pivotButton="0" quotePrefix="0" xfId="0"/>
    <xf numFmtId="0" fontId="17" fillId="12" borderId="1" pivotButton="0" quotePrefix="0" xfId="0"/>
    <xf numFmtId="2" fontId="18" fillId="12" borderId="1" pivotButton="0" quotePrefix="0" xfId="0"/>
    <xf numFmtId="2" fontId="18" fillId="12" borderId="0" pivotButton="0" quotePrefix="0" xfId="0"/>
    <xf numFmtId="0" fontId="17" fillId="13" borderId="1" pivotButton="0" quotePrefix="0" xfId="0"/>
    <xf numFmtId="2" fontId="18" fillId="13" borderId="1" pivotButton="0" quotePrefix="0" xfId="0"/>
    <xf numFmtId="2" fontId="18" fillId="13" borderId="0" pivotButton="0" quotePrefix="0" xfId="0"/>
    <xf numFmtId="0" fontId="17" fillId="14" borderId="1" pivotButton="0" quotePrefix="0" xfId="0"/>
    <xf numFmtId="2" fontId="18" fillId="14" borderId="1" pivotButton="0" quotePrefix="0" xfId="0"/>
    <xf numFmtId="2" fontId="18" fillId="14" borderId="0" pivotButton="0" quotePrefix="0" xfId="0"/>
    <xf numFmtId="0" fontId="17" fillId="0" borderId="1" pivotButton="0" quotePrefix="0" xfId="0"/>
    <xf numFmtId="2" fontId="18" fillId="0" borderId="1" pivotButton="0" quotePrefix="0" xfId="0"/>
    <xf numFmtId="0" fontId="18" fillId="6" borderId="1" applyAlignment="1" pivotButton="0" quotePrefix="0" xfId="0">
      <alignment wrapText="1"/>
    </xf>
    <xf numFmtId="0" fontId="18" fillId="11" borderId="1" applyAlignment="1" pivotButton="0" quotePrefix="0" xfId="0">
      <alignment wrapText="1"/>
    </xf>
    <xf numFmtId="0" fontId="18" fillId="0" borderId="0" applyAlignment="1" pivotButton="0" quotePrefix="0" xfId="0">
      <alignment wrapText="1"/>
    </xf>
    <xf numFmtId="9" fontId="18" fillId="6" borderId="1" pivotButton="0" quotePrefix="0" xfId="0"/>
    <xf numFmtId="9" fontId="18" fillId="11" borderId="1" pivotButton="0" quotePrefix="0" xfId="0"/>
    <xf numFmtId="0" fontId="32" fillId="10" borderId="1" applyAlignment="1" pivotButton="0" quotePrefix="0" xfId="0">
      <alignment horizontal="center"/>
    </xf>
    <xf numFmtId="0" fontId="36" fillId="0" borderId="0" pivotButton="0" quotePrefix="0" xfId="0"/>
    <xf numFmtId="1" fontId="36" fillId="0" borderId="0" pivotButton="0" quotePrefix="0" xfId="0"/>
    <xf numFmtId="164" fontId="36" fillId="0" borderId="0" pivotButton="0" quotePrefix="0" xfId="0"/>
    <xf numFmtId="0" fontId="37" fillId="0" borderId="0" pivotButton="0" quotePrefix="0" xfId="0"/>
    <xf numFmtId="1" fontId="37" fillId="0" borderId="0" pivotButton="0" quotePrefix="0" xfId="0"/>
    <xf numFmtId="164" fontId="37" fillId="0" borderId="0" pivotButton="0" quotePrefix="0" xfId="0"/>
    <xf numFmtId="172" fontId="37" fillId="0" borderId="0" pivotButton="0" quotePrefix="0" xfId="0"/>
    <xf numFmtId="0" fontId="38" fillId="0" borderId="0" pivotButton="0" quotePrefix="0" xfId="0"/>
    <xf numFmtId="0" fontId="39" fillId="0" borderId="0" pivotButton="0" quotePrefix="0" xfId="0"/>
    <xf numFmtId="0" fontId="40" fillId="15" borderId="0" applyAlignment="1" pivotButton="0" quotePrefix="0" xfId="0">
      <alignment horizontal="left" vertical="center"/>
    </xf>
    <xf numFmtId="0" fontId="41" fillId="0" borderId="0" pivotButton="0" quotePrefix="0" xfId="0"/>
    <xf numFmtId="0" fontId="0" fillId="0" borderId="0" applyAlignment="1" pivotButton="0" quotePrefix="0" xfId="0">
      <alignment horizontal="left"/>
    </xf>
    <xf numFmtId="2" fontId="0" fillId="16" borderId="0" pivotButton="0" quotePrefix="0" xfId="0"/>
    <xf numFmtId="0" fontId="42" fillId="0" borderId="0" pivotButton="0" quotePrefix="0" xfId="0"/>
    <xf numFmtId="0" fontId="0" fillId="16" borderId="0" pivotButton="0" quotePrefix="0" xfId="0"/>
    <xf numFmtId="2" fontId="0" fillId="17" borderId="0" pivotButton="0" quotePrefix="0" xfId="0"/>
    <xf numFmtId="2" fontId="43" fillId="17" borderId="0" pivotButton="0" quotePrefix="0" xfId="0"/>
    <xf numFmtId="0" fontId="0" fillId="17" borderId="0" pivotButton="0" quotePrefix="0" xfId="0"/>
    <xf numFmtId="0" fontId="43" fillId="0" borderId="0" pivotButton="0" quotePrefix="0" xfId="0"/>
    <xf numFmtId="49" fontId="0" fillId="16" borderId="0" pivotButton="0" quotePrefix="0" xfId="0"/>
    <xf numFmtId="0" fontId="40" fillId="15" borderId="0" pivotButton="0" quotePrefix="0" xfId="0"/>
    <xf numFmtId="2" fontId="0" fillId="18" borderId="0" pivotButton="0" quotePrefix="0" xfId="0"/>
    <xf numFmtId="0" fontId="0" fillId="18" borderId="0" pivotButton="0" quotePrefix="0" xfId="0"/>
    <xf numFmtId="0" fontId="0" fillId="19" borderId="0" pivotButton="0" quotePrefix="0" xfId="0"/>
    <xf numFmtId="0" fontId="0" fillId="20" borderId="0" pivotButton="0" quotePrefix="0" xfId="0"/>
    <xf numFmtId="2" fontId="18" fillId="0" borderId="0" applyAlignment="1" pivotButton="0" quotePrefix="0" xfId="0">
      <alignment horizontal="right"/>
    </xf>
    <xf numFmtId="0" fontId="0" fillId="21" borderId="0" pivotButton="0" quotePrefix="0" xfId="0"/>
    <xf numFmtId="2" fontId="0" fillId="20" borderId="0" pivotButton="0" quotePrefix="0" xfId="0"/>
    <xf numFmtId="0" fontId="41" fillId="0" borderId="0" applyAlignment="1" pivotButton="0" quotePrefix="0" xfId="0">
      <alignment horizontal="center"/>
    </xf>
    <xf numFmtId="0" fontId="44" fillId="22" borderId="0" pivotButton="0" quotePrefix="0" xfId="0"/>
    <xf numFmtId="0" fontId="45" fillId="0" borderId="0" pivotButton="0" quotePrefix="0" xfId="0"/>
    <xf numFmtId="2" fontId="18" fillId="19" borderId="0" pivotButton="0" quotePrefix="0" xfId="0"/>
    <xf numFmtId="1" fontId="0" fillId="21" borderId="0" applyAlignment="1" pivotButton="0" quotePrefix="0" xfId="0">
      <alignment horizontal="center"/>
    </xf>
    <xf numFmtId="0" fontId="3" fillId="19" borderId="0" pivotButton="0" quotePrefix="0" xfId="0"/>
    <xf numFmtId="170" fontId="3" fillId="21" borderId="0" pivotButton="0" quotePrefix="0" xfId="0"/>
    <xf numFmtId="0" fontId="46" fillId="2" borderId="0" pivotButton="0" quotePrefix="0" xfId="0"/>
    <xf numFmtId="0" fontId="46" fillId="0" borderId="0" pivotButton="0" quotePrefix="0" xfId="0"/>
    <xf numFmtId="0" fontId="47" fillId="0" borderId="0" pivotButton="0" quotePrefix="0" xfId="0"/>
    <xf numFmtId="0" fontId="46" fillId="2" borderId="0" applyAlignment="1" pivotButton="0" quotePrefix="0" xfId="0">
      <alignment vertical="top" wrapText="1"/>
    </xf>
    <xf numFmtId="0" fontId="0" fillId="0" borderId="0" applyAlignment="1" pivotButton="0" quotePrefix="0" xfId="0">
      <alignment vertical="top" wrapText="1"/>
    </xf>
    <xf numFmtId="0" fontId="48" fillId="0" borderId="0" applyAlignment="1" pivotButton="0" quotePrefix="0" xfId="0">
      <alignment vertical="top" wrapText="1"/>
    </xf>
    <xf numFmtId="0" fontId="46" fillId="0" borderId="0" applyAlignment="1" pivotButton="0" quotePrefix="0" xfId="0">
      <alignment vertical="top" wrapText="1"/>
    </xf>
    <xf numFmtId="0" fontId="43" fillId="0" borderId="0" applyAlignment="1" pivotButton="0" quotePrefix="0" xfId="0">
      <alignment vertical="top" wrapText="1"/>
    </xf>
    <xf numFmtId="0" fontId="49" fillId="2" borderId="0" pivotButton="0" quotePrefix="0" xfId="0"/>
    <xf numFmtId="0" fontId="48" fillId="2" borderId="0" pivotButton="0" quotePrefix="0" xfId="0"/>
    <xf numFmtId="0" fontId="48" fillId="0" borderId="0" pivotButton="0" quotePrefix="0" xfId="0"/>
    <xf numFmtId="0" fontId="50" fillId="0" borderId="0" applyAlignment="1" pivotButton="0" quotePrefix="0" xfId="0">
      <alignment vertical="top" wrapText="1"/>
    </xf>
    <xf numFmtId="0" fontId="51" fillId="0" borderId="0" pivotButton="0" quotePrefix="0" xfId="0"/>
    <xf numFmtId="0" fontId="50" fillId="0" borderId="0" pivotButton="0" quotePrefix="0" xfId="0"/>
    <xf numFmtId="0" fontId="52" fillId="0" borderId="0" pivotButton="0" quotePrefix="0" xfId="0"/>
    <xf numFmtId="0" fontId="49" fillId="0" borderId="0" pivotButton="0" quotePrefix="0" xfId="0"/>
    <xf numFmtId="0" fontId="53" fillId="0" borderId="0" pivotButton="0" quotePrefix="0" xfId="0"/>
    <xf numFmtId="0" fontId="49" fillId="15" borderId="0" pivotButton="0" quotePrefix="0" xfId="0"/>
    <xf numFmtId="0" fontId="54" fillId="15" borderId="0" pivotButton="0" quotePrefix="0" xfId="0"/>
    <xf numFmtId="0" fontId="54" fillId="0" borderId="0" pivotButton="0" quotePrefix="0" xfId="0"/>
    <xf numFmtId="0" fontId="54" fillId="16" borderId="0" pivotButton="0" quotePrefix="0" xfId="0"/>
    <xf numFmtId="0" fontId="54" fillId="18" borderId="0" pivotButton="0" quotePrefix="0" xfId="0"/>
    <xf numFmtId="0" fontId="54" fillId="17" borderId="0" pivotButton="0" quotePrefix="0" xfId="0"/>
    <xf numFmtId="0" fontId="51" fillId="0" borderId="0" applyAlignment="1" pivotButton="0" quotePrefix="0" xfId="0">
      <alignment vertical="top" wrapText="1"/>
    </xf>
    <xf numFmtId="0" fontId="49" fillId="15" borderId="0" applyAlignment="1" pivotButton="0" quotePrefix="0" xfId="0">
      <alignment vertical="top" wrapText="1"/>
    </xf>
    <xf numFmtId="0" fontId="55" fillId="23" borderId="0" pivotButton="0" quotePrefix="0" xfId="0"/>
    <xf numFmtId="0" fontId="50" fillId="19" borderId="0" pivotButton="0" quotePrefix="0" xfId="0"/>
    <xf numFmtId="0" fontId="50" fillId="21" borderId="0" pivotButton="0" quotePrefix="0" xfId="0"/>
    <xf numFmtId="0" fontId="50" fillId="20" borderId="0" pivotButton="0" quotePrefix="0" xfId="0"/>
    <xf numFmtId="0" fontId="56" fillId="0" borderId="0" pivotButton="0" quotePrefix="0" xfId="0"/>
    <xf numFmtId="2" fontId="0" fillId="19" borderId="0" pivotButton="0" quotePrefix="0" xfId="0"/>
    <xf numFmtId="1" fontId="0" fillId="19" borderId="0" pivotButton="0" quotePrefix="0" xfId="0"/>
    <xf numFmtId="164" fontId="0" fillId="19" borderId="0" pivotButton="0" quotePrefix="0" xfId="0"/>
    <xf numFmtId="0" fontId="57" fillId="0" borderId="0" pivotButton="0" quotePrefix="0" xfId="0"/>
    <xf numFmtId="0" fontId="58" fillId="0" borderId="0" pivotButton="0" quotePrefix="0" xfId="0"/>
    <xf numFmtId="0" fontId="59" fillId="0" borderId="0" pivotButton="0" quotePrefix="0" xfId="0"/>
    <xf numFmtId="0" fontId="50" fillId="0" borderId="0" applyAlignment="1" pivotButton="0" quotePrefix="0" xfId="0">
      <alignment wrapText="1"/>
    </xf>
    <xf numFmtId="2" fontId="50" fillId="20" borderId="0" pivotButton="0" quotePrefix="0" xfId="0"/>
    <xf numFmtId="0" fontId="55" fillId="24" borderId="0" pivotButton="0" quotePrefix="0" xfId="0"/>
    <xf numFmtId="0" fontId="55" fillId="24" borderId="1" applyAlignment="1" pivotButton="0" quotePrefix="0" xfId="0">
      <alignment horizontal="center"/>
    </xf>
    <xf numFmtId="0" fontId="55" fillId="24" borderId="0" applyAlignment="1" pivotButton="0" quotePrefix="0" xfId="0">
      <alignment horizontal="center"/>
    </xf>
    <xf numFmtId="0" fontId="44" fillId="22" borderId="1" applyAlignment="1" pivotButton="0" quotePrefix="0" xfId="0">
      <alignment horizontal="center"/>
    </xf>
    <xf numFmtId="167" fontId="44" fillId="22" borderId="1" applyAlignment="1" pivotButton="0" quotePrefix="0" xfId="0">
      <alignment horizontal="center"/>
    </xf>
    <xf numFmtId="0" fontId="60" fillId="0" borderId="1" pivotButton="0" quotePrefix="0" xfId="0"/>
    <xf numFmtId="167" fontId="33" fillId="20" borderId="0" pivotButton="0" quotePrefix="0" xfId="0"/>
    <xf numFmtId="0" fontId="33" fillId="0" borderId="1" pivotButton="0" quotePrefix="0" xfId="0"/>
    <xf numFmtId="167" fontId="18" fillId="20" borderId="0" pivotButton="0" quotePrefix="0" xfId="0"/>
    <xf numFmtId="0" fontId="18" fillId="0" borderId="1" pivotButton="0" quotePrefix="0" xfId="0"/>
    <xf numFmtId="0" fontId="44" fillId="22" borderId="1" pivotButton="0" quotePrefix="0" xfId="0"/>
    <xf numFmtId="0" fontId="60" fillId="0" borderId="0" pivotButton="0" quotePrefix="0" xfId="0"/>
    <xf numFmtId="0" fontId="60" fillId="0" borderId="3" pivotButton="0" quotePrefix="0" xfId="0"/>
    <xf numFmtId="0" fontId="61" fillId="0" borderId="0" pivotButton="0" quotePrefix="0" xfId="0"/>
    <xf numFmtId="0" fontId="62" fillId="0" borderId="0" pivotButton="0" quotePrefix="0" xfId="0"/>
    <xf numFmtId="0" fontId="50" fillId="19" borderId="0" applyAlignment="1" pivotButton="0" quotePrefix="0" xfId="0">
      <alignment horizontal="center"/>
    </xf>
    <xf numFmtId="0" fontId="50" fillId="21" borderId="0" applyAlignment="1" pivotButton="0" quotePrefix="0" xfId="0">
      <alignment horizontal="center"/>
    </xf>
    <xf numFmtId="0" fontId="50" fillId="20" borderId="0" applyAlignment="1" pivotButton="0" quotePrefix="0" xfId="0">
      <alignment horizontal="center"/>
    </xf>
    <xf numFmtId="0" fontId="50" fillId="25" borderId="0" applyAlignment="1" pivotButton="0" quotePrefix="0" xfId="0">
      <alignment horizontal="center"/>
    </xf>
    <xf numFmtId="0" fontId="63" fillId="0" borderId="0" applyAlignment="1" pivotButton="0" quotePrefix="0" xfId="0">
      <alignment horizontal="center"/>
    </xf>
    <xf numFmtId="0" fontId="50" fillId="0" borderId="0" applyAlignment="1" pivotButton="0" quotePrefix="0" xfId="0">
      <alignment horizontal="center"/>
    </xf>
    <xf numFmtId="0" fontId="51" fillId="26" borderId="0" pivotButton="0" quotePrefix="0" xfId="0"/>
    <xf numFmtId="0" fontId="44" fillId="22" borderId="0" applyAlignment="1" pivotButton="0" quotePrefix="0" xfId="0">
      <alignment vertical="top" wrapText="1"/>
    </xf>
    <xf numFmtId="22" fontId="3" fillId="21" borderId="0" pivotButton="0" quotePrefix="0" xfId="0"/>
    <xf numFmtId="173" fontId="3" fillId="5" borderId="0" pivotButton="0" quotePrefix="0" xfId="0"/>
    <xf numFmtId="173" fontId="0" fillId="0" borderId="0" pivotButton="0" quotePrefix="0" xfId="0"/>
    <xf numFmtId="22" fontId="0" fillId="21" borderId="0" pivotButton="0" quotePrefix="0" xfId="0"/>
    <xf numFmtId="174" fontId="0" fillId="0" borderId="0" pivotButton="0" quotePrefix="0" xfId="0"/>
    <xf numFmtId="174" fontId="0" fillId="17" borderId="0" pivotButton="0" quotePrefix="0" xfId="0"/>
    <xf numFmtId="174" fontId="0" fillId="5" borderId="0" pivotButton="0" quotePrefix="0" xfId="0"/>
    <xf numFmtId="173" fontId="3" fillId="17" borderId="0" pivotButton="0" quotePrefix="0" xfId="0"/>
    <xf numFmtId="0" fontId="3" fillId="16" borderId="0" pivotButton="0" quotePrefix="0" xfId="0"/>
    <xf numFmtId="22" fontId="3" fillId="18" borderId="0" pivotButton="0" quotePrefix="0" xfId="0"/>
    <xf numFmtId="170" fontId="3" fillId="17" borderId="0" pivotButton="0" quotePrefix="0" xfId="0"/>
    <xf numFmtId="22" fontId="0" fillId="18" borderId="0" pivotButton="0" quotePrefix="0" xfId="0"/>
    <xf numFmtId="2" fontId="3" fillId="17" borderId="0" pivotButton="0" quotePrefix="0" xfId="0"/>
    <xf numFmtId="0" fontId="36" fillId="27" borderId="0" pivotButton="0" quotePrefix="0" xfId="0"/>
    <xf numFmtId="0" fontId="3" fillId="17" borderId="0" pivotButton="0" quotePrefix="0" xfId="0"/>
    <xf numFmtId="1" fontId="36" fillId="27" borderId="0" pivotButton="0" quotePrefix="0" xfId="0"/>
    <xf numFmtId="164" fontId="36" fillId="27" borderId="0" pivotButton="0" quotePrefix="0" xfId="0"/>
    <xf numFmtId="1" fontId="0" fillId="17" borderId="0" pivotButton="0" quotePrefix="0" xfId="0"/>
    <xf numFmtId="164" fontId="0" fillId="17" borderId="0" pivotButton="0" quotePrefix="0" xfId="0"/>
    <xf numFmtId="172" fontId="0" fillId="17" borderId="0" pivotButton="0" quotePrefix="0" xfId="0"/>
    <xf numFmtId="0" fontId="37" fillId="27" borderId="0" pivotButton="0" quotePrefix="0" xfId="0"/>
    <xf numFmtId="1" fontId="37" fillId="27" borderId="0" pivotButton="0" quotePrefix="0" xfId="0"/>
    <xf numFmtId="164" fontId="37" fillId="27" borderId="0" pivotButton="0" quotePrefix="0" xfId="0"/>
    <xf numFmtId="172" fontId="37" fillId="27" borderId="0" pivotButton="0" quotePrefix="0" xfId="0"/>
    <xf numFmtId="0" fontId="64" fillId="28" borderId="0" applyAlignment="1" pivotButton="0" quotePrefix="0" xfId="0">
      <alignment vertical="center"/>
    </xf>
    <xf numFmtId="0" fontId="65" fillId="0" borderId="0" pivotButton="0" quotePrefix="0" xfId="0"/>
    <xf numFmtId="0" fontId="66" fillId="0" borderId="0" pivotButton="0" quotePrefix="0" xfId="0"/>
    <xf numFmtId="0" fontId="67" fillId="15" borderId="0" pivotButton="0" quotePrefix="0" xfId="0"/>
    <xf numFmtId="0" fontId="68" fillId="0" borderId="0" applyAlignment="1" pivotButton="0" quotePrefix="0" xfId="0">
      <alignment vertical="center" wrapText="1"/>
    </xf>
    <xf numFmtId="0" fontId="69" fillId="0" borderId="0" applyAlignment="1" pivotButton="0" quotePrefix="0" xfId="0">
      <alignment horizontal="center" vertical="center"/>
    </xf>
    <xf numFmtId="0" fontId="68" fillId="0" borderId="0" pivotButton="0" quotePrefix="0" xfId="0"/>
    <xf numFmtId="0" fontId="70" fillId="0" borderId="0" pivotButton="0" quotePrefix="0" xfId="0"/>
    <xf numFmtId="0" fontId="68" fillId="16" borderId="0" applyAlignment="1" pivotButton="0" quotePrefix="0" xfId="0">
      <alignment horizontal="center"/>
    </xf>
    <xf numFmtId="0" fontId="68" fillId="18" borderId="0" applyAlignment="1" pivotButton="0" quotePrefix="0" xfId="0">
      <alignment horizontal="center"/>
    </xf>
    <xf numFmtId="0" fontId="68" fillId="17" borderId="0" applyAlignment="1" pivotButton="0" quotePrefix="0" xfId="0">
      <alignment horizontal="center"/>
    </xf>
    <xf numFmtId="0" fontId="68" fillId="29" borderId="0" applyAlignment="1" pivotButton="0" quotePrefix="0" xfId="0">
      <alignment horizontal="center"/>
    </xf>
    <xf numFmtId="0" fontId="68" fillId="0" borderId="0" applyAlignment="1" pivotButton="0" quotePrefix="0" xfId="0">
      <alignment horizontal="center"/>
    </xf>
    <xf numFmtId="0" fontId="67" fillId="15" borderId="0" applyAlignment="1" pivotButton="0" quotePrefix="0" xfId="0">
      <alignment vertical="top" wrapText="1"/>
    </xf>
    <xf numFmtId="0" fontId="68" fillId="0" borderId="0" applyAlignment="1" pivotButton="0" quotePrefix="0" xfId="0">
      <alignment vertical="top" wrapText="1"/>
    </xf>
    <xf numFmtId="0" fontId="67" fillId="30" borderId="0" pivotButton="0" quotePrefix="0" xfId="0"/>
    <xf numFmtId="0" fontId="44" fillId="31" borderId="0" pivotButton="0" quotePrefix="0" xfId="0"/>
    <xf numFmtId="0" fontId="71" fillId="22" borderId="0" pivotButton="0" quotePrefix="0" xfId="0"/>
    <xf numFmtId="0" fontId="72" fillId="21" borderId="0" pivotButton="0" quotePrefix="0" xfId="0"/>
    <xf numFmtId="0" fontId="72" fillId="20" borderId="0" pivotButton="0" quotePrefix="0" xfId="0"/>
    <xf numFmtId="0" fontId="73" fillId="0" borderId="0" pivotButton="0" quotePrefix="0" xfId="0"/>
  </cellXfs>
  <cellStyles count="1">
    <cellStyle name="Normal" xfId="0" builtinId="0"/>
  </cellStyles>
  <dxfs count="1">
    <dxf>
      <fill>
        <patternFill>
          <bgColor rgb="FFFFCCCC"/>
        </patternFill>
      </fill>
    </dxf>
  </dxfs>
  <tableStyles count="0" defaultTableStyle="TableStyleMedium2" defaultPivotStyle="PivotStyleLight16"/>
  <colors>
    <indexedColors>
      <rgbColor rgb="FF000000"/>
      <rgbColor rgb="FFFFFFFF"/>
      <rgbColor rgb="FFFF0000"/>
      <rgbColor rgb="FF00FF00"/>
      <rgbColor rgb="FF0000FF"/>
      <rgbColor rgb="FFE8F5E9"/>
      <rgbColor rgb="FFFF00FF"/>
      <rgbColor rgb="FF00FFFF"/>
      <rgbColor rgb="FF800000"/>
      <rgbColor rgb="FF008000"/>
      <rgbColor rgb="FF000080"/>
      <rgbColor rgb="FF808000"/>
      <rgbColor rgb="FF800080"/>
      <rgbColor rgb="FF4E6E7E"/>
      <rgbColor rgb="FFB3B3B3"/>
      <rgbColor rgb="FF888888"/>
      <rgbColor rgb="FF6495ED"/>
      <rgbColor rgb="FF993366"/>
      <rgbColor rgb="FFF5F8FA"/>
      <rgbColor rgb="FFCCEBFF"/>
      <rgbColor rgb="FF660066"/>
      <rgbColor rgb="FFFF8080"/>
      <rgbColor rgb="FF0066CC"/>
      <rgbColor rgb="FFB8CCE4"/>
      <rgbColor rgb="FF000080"/>
      <rgbColor rgb="FFFF00FF"/>
      <rgbColor rgb="FFF0F0F0"/>
      <rgbColor rgb="FF00FFFF"/>
      <rgbColor rgb="FF800080"/>
      <rgbColor rgb="FF800000"/>
      <rgbColor rgb="FF008080"/>
      <rgbColor rgb="FF0000FF"/>
      <rgbColor rgb="FF00CCFF"/>
      <rgbColor rgb="FFDAEEF3"/>
      <rgbColor rgb="FFC6EFCE"/>
      <rgbColor rgb="FFFFEB9C"/>
      <rgbColor rgb="FFD9D9D9"/>
      <rgbColor rgb="FFFFCCCC"/>
      <rgbColor rgb="FFFFD9D9"/>
      <rgbColor rgb="FFE8D4A8"/>
      <rgbColor rgb="FF3366FF"/>
      <rgbColor rgb="FF33CCCC"/>
      <rgbColor rgb="FF8FBC8F"/>
      <rgbColor rgb="FFFFCC00"/>
      <rgbColor rgb="FFFF9900"/>
      <rgbColor rgb="FFFF6600"/>
      <rgbColor rgb="FF666666"/>
      <rgbColor rgb="FF9DB4C0"/>
      <rgbColor rgb="FF1A535C"/>
      <rgbColor rgb="FF2E7D32"/>
      <rgbColor rgb="FF003300"/>
      <rgbColor rgb="FF4F5D5E"/>
      <rgbColor rgb="FF993300"/>
      <rgbColor rgb="FF993366"/>
      <rgbColor rgb="FF1F4E79"/>
      <rgbColor rgb="FF1A1A2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Stage Additions</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_Allocations!$C$44</f>
              <strCache>
                <ptCount val="1"/>
                <pt idx="0">
                  <v>Kakemai</v>
                </pt>
              </strCache>
            </strRef>
          </tx>
          <spPr>
            <a:solidFill xmlns:a="http://schemas.openxmlformats.org/drawingml/2006/main">
              <a:srgbClr val="E8D4A8"/>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ctr"/>
            <showLegendKey val="0"/>
            <showVal val="0"/>
            <showCatName val="0"/>
            <showSerName val="0"/>
            <showPercent val="0"/>
            <showBubbleSize val="1"/>
            <showLeaderLines val="0"/>
          </dLbls>
          <cat>
            <strRef>
              <f>_Allocations!$A$45:$A$49</f>
              <strCache>
                <ptCount val="5"/>
                <pt idx="0">
                  <v>Moto</v>
                </pt>
                <pt idx="1">
                  <v>Soe</v>
                </pt>
                <pt idx="2">
                  <v>Naka</v>
                </pt>
                <pt idx="3">
                  <v>Tome</v>
                </pt>
                <pt idx="4">
                  <v>Yondan</v>
                </pt>
              </strCache>
            </strRef>
          </cat>
          <val>
            <numRef>
              <f>_Allocations!$C$45:$C$49</f>
              <numCache>
                <formatCode>General</formatCode>
                <ptCount val="5"/>
                <pt idx="0">
                  <v>0.30016</v>
                </pt>
                <pt idx="1">
                  <v>0.9921983999999999</v>
                </pt>
                <pt idx="2">
                  <v>1.9838016</v>
                </pt>
                <pt idx="3">
                  <v>2.976</v>
                </pt>
                <pt idx="4">
                  <v>0</v>
                </pt>
              </numCache>
            </numRef>
          </val>
        </ser>
        <ser>
          <idx val="1"/>
          <order val="1"/>
          <tx>
            <strRef>
              <f>_Allocations!$D$44</f>
              <strCache>
                <ptCount val="1"/>
                <pt idx="0">
                  <v>Koji</v>
                </pt>
              </strCache>
            </strRef>
          </tx>
          <spPr>
            <a:solidFill xmlns:a="http://schemas.openxmlformats.org/drawingml/2006/main">
              <a:srgbClr val="8FBC8F"/>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ctr"/>
            <showLegendKey val="0"/>
            <showVal val="0"/>
            <showCatName val="0"/>
            <showSerName val="0"/>
            <showPercent val="0"/>
            <showBubbleSize val="1"/>
            <showLeaderLines val="0"/>
          </dLbls>
          <cat>
            <strRef>
              <f>_Allocations!$A$45:$A$49</f>
              <strCache>
                <ptCount val="5"/>
                <pt idx="0">
                  <v>Moto</v>
                </pt>
                <pt idx="1">
                  <v>Soe</v>
                </pt>
                <pt idx="2">
                  <v>Naka</v>
                </pt>
                <pt idx="3">
                  <v>Tome</v>
                </pt>
                <pt idx="4">
                  <v>Yondan</v>
                </pt>
              </strCache>
            </strRef>
          </cat>
          <val>
            <numRef>
              <f>_Allocations!$D$45:$D$49</f>
              <numCache>
                <formatCode>General</formatCode>
                <ptCount val="5"/>
                <pt idx="0">
                  <v>0.14784</v>
                </pt>
                <pt idx="1">
                  <v>0.27975552</v>
                </pt>
                <pt idx="2">
                  <v>0.4196332800000001</v>
                </pt>
                <pt idx="3">
                  <v>0.5595110400000001</v>
                </pt>
                <pt idx="4">
                  <v>0</v>
                </pt>
              </numCache>
            </numRef>
          </val>
        </ser>
        <ser>
          <idx val="2"/>
          <order val="2"/>
          <tx>
            <strRef>
              <f>_Allocations!$E$44</f>
              <strCache>
                <ptCount val="1"/>
                <pt idx="0">
                  <v>Water</v>
                </pt>
              </strCache>
            </strRef>
          </tx>
          <spPr>
            <a:solidFill xmlns:a="http://schemas.openxmlformats.org/drawingml/2006/main">
              <a:srgbClr val="6495E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ctr"/>
            <showLegendKey val="0"/>
            <showVal val="0"/>
            <showCatName val="0"/>
            <showSerName val="0"/>
            <showPercent val="0"/>
            <showBubbleSize val="1"/>
            <showLeaderLines val="0"/>
          </dLbls>
          <cat>
            <strRef>
              <f>_Allocations!$A$45:$A$49</f>
              <strCache>
                <ptCount val="5"/>
                <pt idx="0">
                  <v>Moto</v>
                </pt>
                <pt idx="1">
                  <v>Soe</v>
                </pt>
                <pt idx="2">
                  <v>Naka</v>
                </pt>
                <pt idx="3">
                  <v>Tome</v>
                </pt>
                <pt idx="4">
                  <v>Yondan</v>
                </pt>
              </strCache>
            </strRef>
          </cat>
          <val>
            <numRef>
              <f>_Allocations!$E$45:$E$49</f>
              <numCache>
                <formatCode>General</formatCode>
                <ptCount val="5"/>
                <pt idx="0">
                  <v>0.4928000000000001</v>
                </pt>
                <pt idx="1">
                  <v>0.9425884799999998</v>
                </pt>
                <pt idx="2">
                  <v>2.479752</v>
                </pt>
                <pt idx="3">
                  <v>4.3152</v>
                </pt>
                <pt idx="4">
                  <v>0</v>
                </pt>
              </numCache>
            </numRef>
          </val>
        </ser>
        <dLbls>
          <showLegendKey val="0"/>
          <showVal val="0"/>
          <showCatName val="0"/>
          <showSerName val="0"/>
          <showPercent val="0"/>
          <showBubbleSize val="0"/>
        </dLbls>
        <gapWidth val="150"/>
        <overlap val="100"/>
        <axId val="52138557"/>
        <axId val="15373691"/>
      </barChart>
      <catAx>
        <axId val="52138557"/>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15373691"/>
        <crosses val="autoZero"/>
        <auto val="1"/>
        <lblAlgn val="ctr"/>
        <lblOffset val="100"/>
        <noMultiLvlLbl val="0"/>
      </catAx>
      <valAx>
        <axId val="15373691"/>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n-US" sz="1000" b="1" strike="noStrike" spc="-1">
                    <a:solidFill>
                      <a:srgbClr val="000000"/>
                    </a:solidFill>
                    <a:latin typeface="Calibri"/>
                  </a:rPr>
                  <a:t>Amount</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5213855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omments/comment1.xml><?xml version="1.0" encoding="utf-8"?>
<comments xmlns="http://schemas.openxmlformats.org/spreadsheetml/2006/main">
  <authors>
    <author>Toji</author>
  </authors>
  <commentList>
    <comment ref="B26" authorId="0" shapeId="0">
      <text>
        <t>Cells with red triangles contain Toji notes. These provide brewing guidance, safe operating ranges, calculation basis, and scientific sources. Hover over any cell with a red triangle to see its note.</t>
      </text>
    </comment>
  </commentList>
</comments>
</file>

<file path=xl/comments/comment2.xml><?xml version="1.0" encoding="utf-8"?>
<comments xmlns="http://schemas.openxmlformats.org/spreadsheetml/2006/main">
  <authors>
    <author>Unknown Author</author>
    <author>Toji</author>
  </authors>
  <commentList>
    <comment ref="A3" authorId="0" shapeId="0">
      <text>
        <t>RECIPE SETTINGS define the core parameters.
Total rice drives all calculations.
Preset auto-fills proven ratio combinations.
Override any value for custom recipes.</t>
      </text>
    </comment>
    <comment ref="B4" authorId="0" shapeId="0">
      <text>
        <t>Total Rice (総米, そうまい)
Total dry rice weight for entire batch.
All other quantities scale from this.
Commercial (商業, しょうぎょう): 500-2000+ kg per batch
Craft (小規模, しょうきぼ): 50-200 kg
Homebrew (自家醸造, じかじょうぞう): 2-20 kg
Enter dry/raw rice (白米, はくまい) weight - steamed weights (蒸米, むしまい) are calculated.</t>
      </text>
    </comment>
    <comment ref="B5" authorId="0" shapeId="0">
      <text>
        <t>Recipe Preset (レシピ)
Select recipe preset to auto-fill ratios and parameters.
Presets define:
  Koji % (麹歩合, こうじぶあい)
  Water ratio (汲水歩合, くみみずぶあい)
  Stage allocations (仕込配合, しこみはいごう)
  Moto % (酛歩合, もとぶあい)
Custom allows manual entry of all parameters.
Standard_NRIB uses research institute (醸造研究所, じょうぞうけんきゅうしょ) baseline ratios.</t>
      </text>
    </comment>
    <comment ref="B6" authorId="0" shapeId="0">
      <text>
        <t>Toji: Moto type is now selected on the Plan sheet for easier workflow management. Navigate to Plan sheet, MOTO PLAN section.</t>
      </text>
    </comment>
    <comment ref="B7" authorId="0" shapeId="0">
      <text>
        <t>Koji Strain (麹菌, こうじきん)
Koji mold strain affects enzyme profile and sake character.
Yellow (黄麹, きこうじ): Standard sake, balanced enzymes
White (白麹, しろこうじ): Higher citric acid, clean profile
Black (黒麹, くろこうじ): Shochu-style, very high acid
Different suppliers (種麹屋, たねこうじや) have distinct characteristics.</t>
      </text>
    </comment>
    <comment ref="B8" authorId="0" shapeId="0">
      <text>
        <t>Koji Style (破精, はぜ)
Koji growth pattern target.
Tsuki-haze (突きハゼ つきはぜ): Spotted penetration, for ginjo (吟醸, ぎんじょう)
Sō-haze (総ハゼ そうはぜ): Full coverage, for junmai (純米, じゅんまい)
Nuri-haze (塗りハゼ ぬりはぜ): Surface only - defect (欠点, けってん)
Affects enzyme balance and sake body.</t>
      </text>
    </comment>
    <comment ref="A9" authorId="0" shapeId="0">
      <text>
        <t>Rice Lots (原料米, げんりょうまい)
Track up to 4 different rice sources.
Different lots may have different:
  Absorption rates (吸水率, きゅうすいりつ)
  Protein content (蛋白質, たんぱくしつ)
  Optimal soak times (浸漬時間, しんせきじかん)
Test each lot with test soak (試験浸漬, しけんしんせき) before brewing.</t>
      </text>
    </comment>
    <comment ref="B10" authorId="0" shapeId="0">
      <text>
        <t>Rice variety selection. Different varieties have different starch content, hardness, and shinpaku characteristics.</t>
      </text>
    </comment>
    <comment ref="B11" authorId="0" shapeId="0">
      <text>
        <t>Rice Variety (品種, ひんしゅ)
Rice variety significantly affects sake character.
Yamada Nishiki (山田錦, やまだにしき): King of sake rice, large shinpaku (心白, しんぱく)
Gohyakumangoku (五百万石, ごひゃくまんごく): Clean, light style
Omachi (雄町, おまち): Rich, full-bodied
Miyama Nishiki (美山錦, みやまにしき): Cold-region variety
Sake rice (酒造好適米, しゅぞうこうてきまい) has larger starch core (心白, しんぱく).</t>
      </text>
    </comment>
    <comment ref="C11" authorId="0" shapeId="0">
      <text>
        <t>Polish Ratio (精米歩合, せいまいぶあい)
Remaining rice percentage after polishing.
70%: Junmai (純米, じゅんまい) / Honjozo (本醸造, ほんじょうぞう) minimum
60%: Ginjo (吟醸, ぎんじょう) grade
50%: Daiginjo (大吟醸, だいぎんじょう) grade
35-40%: Ultra-premium (超特選, ちょうとくせん)
Lower % = more polished = less protein (蛋白質, たんぱくしつ) / fat (脂質, ししつ).</t>
      </text>
    </comment>
    <comment ref="D11" authorId="0" shapeId="0">
      <text>
        <t>Batch ID (ロット番号 ろっとばんごう)
Links rice lot to specific brew.
Use for traceability and QC (品質管理, ひんしつかんり).
Format suggestion: YYMMDD-LOT
Example: 241215-A</t>
      </text>
    </comment>
    <comment ref="B12" authorId="0" shapeId="0">
      <text>
        <t>Rice variety for Lot B.</t>
      </text>
    </comment>
    <comment ref="C12" authorId="0" shapeId="0">
      <text>
        <t>Polish rate for Lot B.</t>
      </text>
    </comment>
    <comment ref="D12" authorId="0" shapeId="0">
      <text>
        <t>Batch ID for Lot B.</t>
      </text>
    </comment>
    <comment ref="B13" authorId="0" shapeId="0">
      <text>
        <t>Rice variety for Lot C.</t>
      </text>
    </comment>
    <comment ref="C13" authorId="0" shapeId="0">
      <text>
        <t>Polish rate for Lot C.</t>
      </text>
    </comment>
    <comment ref="D13" authorId="0" shapeId="0">
      <text>
        <t>Batch ID for Lot C.</t>
      </text>
    </comment>
    <comment ref="B14" authorId="0" shapeId="0">
      <text>
        <t>Rice variety for Lot D.</t>
      </text>
    </comment>
    <comment ref="C14" authorId="0" shapeId="0">
      <text>
        <t>Polish rate for Lot D.</t>
      </text>
    </comment>
    <comment ref="D14" authorId="0" shapeId="0">
      <text>
        <t>Batch ID for Lot D.</t>
      </text>
    </comment>
    <comment ref="B17" authorId="0" shapeId="0">
      <text>
        <t>Primary lot. Auto-fills based on first defined lot. If you use dropdown to override, formula is replaced with your selection.</t>
      </text>
    </comment>
    <comment ref="C17" authorId="0" shapeId="0">
      <text>
        <t>Primary lot %. Enter value here; Lot 2 % auto-calculates to maintain 100% total.</t>
      </text>
    </comment>
    <comment ref="D17" authorId="0" shapeId="0">
      <text>
        <t>Optional secondary lot. Must be different from primary lot. Cell turns RED if same lot selected.</t>
      </text>
    </comment>
    <comment ref="E17" authorId="0" shapeId="0">
      <text>
        <t>Auto-calculated: 100 - primary %. Do not edit.</t>
      </text>
    </comment>
    <comment ref="B18" authorId="1" shapeId="0">
      <text>
        <t>Select which rice lot to use for Kojimai. Default is Lot A.</t>
      </text>
    </comment>
    <comment ref="C18" authorId="0" shapeId="0">
      <text>
        <t>% of Kojimai from primary lot. Change to split between lots.</t>
      </text>
    </comment>
    <comment ref="D18" authorId="0" shapeId="0">
      <text>
        <t>Select second lot for Kojimai blend.</t>
      </text>
    </comment>
    <comment ref="E18" authorId="0" shapeId="0">
      <text>
        <t>Percentage from secondary lot. Primary + Secondary should = 100%.</t>
      </text>
    </comment>
    <comment ref="B19" authorId="1" shapeId="0">
      <text>
        <t>Select which rice lot to use for Moto raw. Default is Lot A.</t>
      </text>
    </comment>
    <comment ref="C19" authorId="0" shapeId="0">
      <text>
        <t>% of Moto raw from primary lot. Change to split between lots.</t>
      </text>
    </comment>
    <comment ref="D19" authorId="0" shapeId="0">
      <text>
        <t>Select second lot for Moto raw blend.</t>
      </text>
    </comment>
    <comment ref="E19" authorId="0" shapeId="0">
      <text>
        <t>Percentage from secondary lot. Primary + Secondary should = 100%.</t>
      </text>
    </comment>
    <comment ref="B20" authorId="1" shapeId="0">
      <text>
        <t>Select which rice lot to use for Moto steamed. Default is Lot A.</t>
      </text>
    </comment>
    <comment ref="C20" authorId="0" shapeId="0">
      <text>
        <t>% of Moto steamed from primary lot. Change to split between lots.</t>
      </text>
    </comment>
    <comment ref="D20" authorId="0" shapeId="0">
      <text>
        <t>Select second lot for Moto steamed blend.</t>
      </text>
    </comment>
    <comment ref="E20" authorId="0" shapeId="0">
      <text>
        <t>Percentage from secondary lot. Primary + Secondary should = 100%.</t>
      </text>
    </comment>
    <comment ref="B21" authorId="1" shapeId="0">
      <text>
        <t>Select which rice lot to use for Soe. Default is Lot A.</t>
      </text>
    </comment>
    <comment ref="C21" authorId="0" shapeId="0">
      <text>
        <t>% of Soe from primary lot. Change to split between lots.</t>
      </text>
    </comment>
    <comment ref="D21" authorId="0" shapeId="0">
      <text>
        <t>Select second lot for Soe blend.</t>
      </text>
    </comment>
    <comment ref="E21" authorId="0" shapeId="0">
      <text>
        <t>Percentage from secondary lot. Primary + Secondary should = 100%.</t>
      </text>
    </comment>
    <comment ref="B22" authorId="1" shapeId="0">
      <text>
        <t>Select which rice lot to use for Naka. Default is Lot A.</t>
      </text>
    </comment>
    <comment ref="C22" authorId="0" shapeId="0">
      <text>
        <t>% of Naka from primary lot. Change to split between lots.</t>
      </text>
    </comment>
    <comment ref="D22" authorId="0" shapeId="0">
      <text>
        <t>Select second lot for Naka blend.</t>
      </text>
    </comment>
    <comment ref="E22" authorId="0" shapeId="0">
      <text>
        <t>Percentage from secondary lot. Primary + Secondary should = 100%.</t>
      </text>
    </comment>
    <comment ref="B23" authorId="1" shapeId="0">
      <text>
        <t>Select which rice lot to use for Tome. Default is Lot A.</t>
      </text>
    </comment>
    <comment ref="C23" authorId="0" shapeId="0">
      <text>
        <t>% of Tome from primary lot. Change to split between lots.</t>
      </text>
    </comment>
    <comment ref="D23" authorId="0" shapeId="0">
      <text>
        <t>Select second lot for Tome blend.</t>
      </text>
    </comment>
    <comment ref="E23" authorId="0" shapeId="0">
      <text>
        <t>Percentage from secondary lot. Primary + Secondary should = 100%.</t>
      </text>
    </comment>
    <comment ref="B24" authorId="1" shapeId="0">
      <text>
        <t>Select which rice lot to use for Yondan. Default is Lot A.</t>
      </text>
    </comment>
    <comment ref="C24" authorId="0" shapeId="0">
      <text>
        <t>% of Yondan from primary lot. Change to split between lots.</t>
      </text>
    </comment>
    <comment ref="D24" authorId="0" shapeId="0">
      <text>
        <t>Select second lot for Yondan blend.</t>
      </text>
    </comment>
    <comment ref="E24" authorId="0" shapeId="0">
      <text>
        <t>Percentage from secondary lot. Primary + Secondary should = 100%.</t>
      </text>
    </comment>
    <comment ref="A26" authorId="0" shapeId="0">
      <text>
        <t>計算結果 (Keisan Kekka) - Calculated Totals
All values derived from inputs above.
Verify before 仕込み brewing begins.</t>
      </text>
    </comment>
    <comment ref="B27" authorId="0" shapeId="0">
      <text>
        <t>掛米総量 - Total rice verification.
Should match B4. Check for errors if different.</t>
      </text>
    </comment>
    <comment ref="B28" authorId="0" shapeId="0">
      <text>
        <t>Total Koji Rice (麹米, こうじまい)
Typically 20-25% of total rice (総米, そうまい).
This rice becomes koji (麹, こうじ) - inoculated with mold (麹菌, こうじきん).
Remaining rice is kake-mai (掛米, かけまい) - steamed rice additions.</t>
      </text>
    </comment>
    <comment ref="B29" authorId="0" shapeId="0">
      <text>
        <t>Total Water (仕込水, しこみみず)
Water ratio (汲水歩合, くみみずぶあい) typically 1.2-1.4 L per kg rice.
Includes moto water (酛水, もとみず) and moromi water (醪水, もろみみず).
Excludes washing (洗米, せんまい) / soaking (浸漬, しんせき) water.</t>
      </text>
    </comment>
    <comment ref="B30" authorId="0" shapeId="0">
      <text>
        <t>醪総量 (Moromi Sōryō) - Total Mash Mass
蒸米 + 麹 + 水 combined weight.
Used for 容器 vessel sizing.</t>
      </text>
    </comment>
    <comment ref="B31" authorId="0" shapeId="0">
      <text>
        <t>理論容量 - Theoretical Volume
Based on 醪 mass ÷ density (0.95 kg/L).
Actual tank needs 2× for 泡 foam!</t>
      </text>
    </comment>
    <comment ref="B32" authorId="0" shapeId="0">
      <text>
        <t>推奨タンク容量 - Recommended Tank
Includes 30% safety for 高泡 (taka-awa).
High foam can double volume briefly.
余裕を持って size up!</t>
      </text>
    </comment>
    <comment ref="B33" authorId="0" shapeId="0">
      <text>
        <t>Water to rice ratio (typically 1.2-1.4).</t>
      </text>
    </comment>
    <comment ref="A34" authorId="0" shapeId="0">
      <text>
        <t>Estimated mash volume for container sizing</t>
      </text>
    </comment>
    <comment ref="B34" authorId="0" shapeId="0">
      <text>
        <t>Mash Volume (醪容量, もろみようりょう)
Theoretical moromi (醪, もろみ) volume before pressing (上槽, じょうそう).
Calculated from: steamed rice (蒸米, むしまい) + koji (麹, こうじ) + water (水, みず)
Density (密度, みつど) assumed: 0.95 kg/L
Actual may vary based on rice dissolution.</t>
      </text>
    </comment>
    <comment ref="A35" authorId="0" shapeId="0">
      <text>
        <t>NRIB-based: 1.80 L per kg polished rice × press efficiency</t>
      </text>
    </comment>
    <comment ref="B35" authorId="0" shapeId="0">
      <text>
        <t>Raw Sake Yield (原酒収得量, げんしゅしゅとくりょう)
Expected sake yield after pressing (上槽, じょうそう).
Based on press method efficiency (歩留り ぶどまり):
Shizuku (雫, しずく) drip: ~55%
Fune (槽, ふね) traditional: 63-73%
Yabuta (藪田, やぶた) machine: ~90%
Multiply by dilution factor for final volume.</t>
      </text>
    </comment>
    <comment ref="A36" authorId="0" shapeId="0">
      <text>
        <t>Select pressing method. Affects yield calculation.</t>
      </text>
    </comment>
    <comment ref="B36" authorId="0" shapeId="0">
      <text>
        <t>Press Method (上槽方法, じょうそうほうほう)
Pressing method affects yield and quality.
Shizuku (雫酒, しずくざけ): Gravity drip, premium (最高級, さいこうきゅう), lowest yield
Fune-shibori (槽搾り ふねしぼり): Traditional box press, good balance
Yabuta (藪田式, やぶたしき): Accordion machine, high efficiency
Premium sake often uses gentler low-pressure (低圧, ていあつ) methods.</t>
      </text>
    </comment>
    <comment ref="A37" authorId="0" shapeId="0">
      <text>
        <t>Estimated yield if diluted to standard 15% ABV</t>
      </text>
    </comment>
    <comment ref="B37" authorId="0" shapeId="0">
      <text>
        <t>Diluted Yield (製品量, せいひんりょう) @15%
Genshu (原酒, げんしゅ) typically 17-20% ABV.
Warimizu (割水, わりみず) diluted to 15% for standard serving strength.
Actual dilution ratio varies by genshu (原酒, げんしゅ) strength.</t>
      </text>
    </comment>
    <comment ref="A38" authorId="0" shapeId="0">
      <text>
        <t>Stage Breakdown (仕込配合, しこみはいごう)
Sandan-jikomi (三段仕込み さんだんじこみ) three-stage allocation:
Soe (添, そえ) → Odori (踊, おどり) → Naka (仲, なか) → Tome (留, とめ)
Optional: Yondan (四段, よだん) fourth addition.</t>
      </text>
    </comment>
    <comment ref="A39" authorId="0" shapeId="0">
      <text>
        <t>Brewing stage name.</t>
      </text>
    </comment>
    <comment ref="A40" authorId="0" shapeId="0">
      <text>
        <t>Moto (酛, もと) / Shubo (酒母, しゅぼ) - Yeast Starter
Typically 6-10% of total rice (総米, そうまい).
Higher % = more robust fermentation start.
Kimoto (生酛, きもと) / Yamahai (山廃, やまはい) use ~7-10%
Sokujo (速醸, そくじょう) uses ~6-7%</t>
      </text>
    </comment>
    <comment ref="B40" authorId="0" shapeId="0">
      <text>
        <t>Lot assignment for Moto stage.
If moto raw and moto steamed use different lots:
  Shows "Steam: Lot A / Soak: Lot B"
If same lot for both (or no raw rice):
  Shows single lot like "Lot A (Yama 90%)"
Soak rice = for mizu/bodaimoto methods.</t>
      </text>
    </comment>
    <comment ref="C40" authorId="0" shapeId="0">
      <text>
        <t>麹配合 (Kōji Haigō) - Koji per Stage
酛: highest ratio (~30% of 酛米)
醪 stages: ~20-25% of stage rice
Higher 麹 = more enzyme power.</t>
      </text>
    </comment>
    <comment ref="D40" authorId="0" shapeId="0">
      <text>
        <t>水配合 (Mizu Haigō) - Water per Stage
汲水歩合 varies by stage/method:
酛: ~1.0-1.2× rice
醪: calculated per preset</t>
      </text>
    </comment>
    <comment ref="E40" authorId="0" shapeId="0">
      <text>
        <t>蒸米量 (Mushi-mai Ryō) - Steamed Rice
掛米 × 1.3 (30% moisture gain).
This is actual weight added to tank.
Verify against 実測値 actual weights.</t>
      </text>
    </comment>
    <comment ref="A41" authorId="0" shapeId="0">
      <text>
        <t>Soe (添, そえ) - First Addition (初添え はつぞえ)
Smallest addition, ~15-17% of moromi rice (醪米, もろみまい).
Added to moto (酛, もと) to begin main fermentation.
Wait 1 day odori (踊り おどり) before naka (仲, なか).</t>
      </text>
    </comment>
    <comment ref="A42" authorId="0" shapeId="0">
      <text>
        <t>Naka (仲, なか) - Middle Addition (仲添え なかぞえ)
Medium addition, ~33% of moromi rice (醪米, もろみまい).
Doubles the batch size.
Added day after odori (踊り おどり) rest.</t>
      </text>
    </comment>
    <comment ref="A43" authorId="0" shapeId="0">
      <text>
        <t>Tome (留, とめ) - Final Addition (留添え とめぞえ)
Largest addition, ~50% of moromi rice (醪米, もろみまい).
Completes sandan-jikomi (三段仕込み さんだんじこみ) 3-stage process.
Fermentation (発酵, はっこう) continues 18-35 days after.</t>
      </text>
    </comment>
    <comment ref="A44" authorId="0" shapeId="0">
      <text>
        <t>Yondan (四段, よだん) - Fourth Addition
Optional addition after main ferment.
Adds sweetness (甘味, あまみ) / body (ボディ).
Can be: koji (麹, こうじ), amazake (甘酒, あまざけ), steamed rice (蒸米, むしまい), or fruit (果物, くだもの).
Common in sweet styles, nigori (濁り にごり), fruit sake.</t>
      </text>
    </comment>
    <comment ref="A46" authorId="0" shapeId="0">
      <text>
        <t>Koji Production (製麹, せいぎく)
麹造りは酒造りの心臓部
(こうじづくりはさけづくりのしんぞうぶ)
'Koji-making is the heart of sake-making'
40-50 hour process requiring constant attention.
Quality here determines final sake quality (酒質, しゅしつ).</t>
      </text>
    </comment>
    <comment ref="B47" authorId="1" shapeId="0">
      <text>
        <t>Total Koji Production Amount (製麹量, せいぎくりょう)
Calculated from total koji needed across all stages. Typically 20-25% of total rice (総米, そうまい). This drives koji room (麹室, こうじむろ) scheduling and tray/box requirements.</t>
      </text>
    </comment>
    <comment ref="B48" authorId="0" shapeId="0">
      <text>
        <t>Koji Rice (麹用米, こうじようまい)
Dry rice weight allocated for koji production (製麹, せいぎく).
Typically 20-25% of total rice (総米, そうまい).
Ginjo (吟醸, ぎんじょう) styles may use slightly more.
This rice is inoculated with tane-koji (種麹, たねこうじ) spores.</t>
      </text>
    </comment>
    <comment ref="B49" authorId="1" shapeId="0">
      <text>
        <t>Post-Steam Weight (蒸し上がり重量, むしあがりじゅうりょう)
Target: 140% of dry weight (白米, はくまい).
Should feel gaihannai (外硬内軟) - firm outside, soft inside.
No hard white core (芯, しん) when bitten.
This is the weight AFTER steaming, before any drying.</t>
      </text>
    </comment>
    <comment ref="B50" authorId="1" shapeId="0">
      <text>
        <t>Pre-Inoculation Weight (引込後重量, ひきこみごじゅうりょう)
Ueda method only: Target 128-131% of dry weight.
Critical moisture reduction (水分調整) before inoculation.
Spread thin, fan dry at 40°C / &lt;50% RH.
Lower moisture promotes tsuki-haze (突きハゼ) growth pattern.
Standard methods skip this step (use steamed weight directly).</t>
      </text>
    </comment>
    <comment ref="B51" authorId="1" shapeId="0">
      <text>
        <t>Estimated Futa-koji Trays Needed
Based on pre-inoculation weight and tray capacity.
Traditional futa (蓋) trays hold ~1.5 kg each.
Ueda method uses larger tarai (たらい) tubs (~15 kg).
Plan for extra trays during mori (盛り) spreading stage.</t>
      </text>
    </comment>
    <comment ref="A53" authorId="0" shapeId="0">
      <text>
        <t>Moto Sanity Checks (酛検証, もとけんしょう)
Cross-reference against traditional (伝統的, でんとうてき) ratios.
Large deviations may indicate errors.
Each moto (酛, もと) method has different targets.</t>
      </text>
    </comment>
    <comment ref="B54" authorId="0" shapeId="0">
      <text>
        <t>酛歩合 (Moto Buai) - Moto Rice %
速醸: 6-7%
生酛/山廃: 7-10%
菩提酛: 7-8%</t>
      </text>
    </comment>
    <comment ref="B55" authorId="0" shapeId="0">
      <text>
        <t>酛麹歩合 - Moto Koji %
Typical: 28-35% of 酛米.
Higher than 醪 stages.
菩提酛 uses up to 40%.</t>
      </text>
    </comment>
    <comment ref="B56" authorId="0" shapeId="0">
      <text>
        <t>酛汲水歩合 - Moto Water Ratio
速醸: ~1.2×
生酛: ~1.08×
菩提酛: ~1.3×</t>
      </text>
    </comment>
    <comment ref="A58" authorId="0" shapeId="0">
      <text>
        <t>酵母と乳酸 (Kōbo to Nyūsan)
Yeast 酵母 affects 香り/味 profile.
Lactic 乳酸 source depends on 酛 method.
Critical for 発酵 success.</t>
      </text>
    </comment>
    <comment ref="B59" authorId="0" shapeId="0">
      <text>
        <t>酵母添加量 - Yeast Pitch Volume
For calculating 投入量 pitch rate.
Standard: 1-2 million cells/mL.</t>
      </text>
    </comment>
    <comment ref="B60" authorId="0" shapeId="0">
      <text>
        <t>乾燥酵母 (Kansō Kōbo) - Dry Yeast
Based on pitch rate and cell count.
復水 rehydrate before pitching.</t>
      </text>
    </comment>
    <comment ref="B61" authorId="0" shapeId="0">
      <text>
        <t>液体酵母 (Ekitai Kōbo) - Liquid Yeast
May need スターター to build cells.
Check 活性 viability if old.</t>
      </text>
    </comment>
    <comment ref="B62" authorId="0" shapeId="0">
      <text>
        <t>Liquid yeast pouches needed.
Rounded up to whole pouches.
One pouch typically contains ~100B cells.
Large batches may need multiple.</t>
      </text>
    </comment>
    <comment ref="B63" authorId="0" shapeId="0">
      <text>
        <t>Acid Type (酸タイプ さんたいぷ)
Acid source depends on moto (酛, もと) method.
Natural LAB (天然乳酸, てんねんにゅうさん): Kimoto (生酛, きもと), Yamahai (山廃, やまはい), Bodaimoto (菩提酛, ぼだいもと)
  Lactic acid bacteria (乳酸菌, にゅうさんきん) produce acid over 2-4 weeks
Lactic acid 85% (乳酸添加, にゅうさんてんか): Sokujo (速醸, そくじょう) method
  Commercial acid added, faster (2 weeks total)
None: Direct pitch methods</t>
      </text>
    </comment>
    <comment ref="B64" authorId="0" shapeId="0">
      <text>
        <t>Lactic Acid Dose (乳酸添加量, にゅうさんてんかりょう)
Amount of 85% lactic acid (乳酸, にゅうさん) per 100L moto (酛, もと).
Typically 650-800 mL per 100L.
Lowers pH to ~3.5-4.0 immediately.
Not used for kimoto/yamahai (生酛/山廃) - natural lactic (天然乳酸, てんねんにゅうさん).</t>
      </text>
    </comment>
    <comment ref="A66" authorId="0" shapeId="0">
      <text>
        <t>Amino Acidity Estimate (アミノ酸度予測 あみのさんどよそく)
Based on Iemura (飯村, いいむら) 1996 research.
Paradox: less-polished rice (低精白, ていせいはく) can have LOWER amino acidity (アミノ酸度 あみのさんど)!
More minerals → more yeast (酵母, こうぼ) → more uptake.</t>
      </text>
    </comment>
    <comment ref="A68" authorId="0" shapeId="0">
      <text>
        <t>あなたのレシピ (Anata no Reshipi)
Summary for 蔵 kura use.
Print for 仕込み brew day.
Verify all values before starting.</t>
      </text>
    </comment>
    <comment ref="B68" authorId="0" shapeId="0">
      <text>
        <t>Amino acidity scale:
&lt;1.0 = Very clean (ginjo)
1.0-1.3 = Light
1.3-1.6 = Medium
1.6-2.0 = Rich
&gt;2.0 = Very high (kimoto)</t>
      </text>
    </comment>
    <comment ref="B69" authorId="0" shapeId="0">
      <text>
        <t>Protein Input (蛋白質投入量, たんぱくしつとうにゅうりょう)
Total protein entering fermentation (発酵, はっこう).
From rice protein content (蛋白質含量, たんぱくしつがんりょう) × rice weight.
Higher polish (精米歩合, せいまいぶあい) = less protein.
Affects amino acidity (アミノ酸度 あみのさんど) and umami (旨味, うまみ).</t>
      </text>
    </comment>
    <comment ref="A77" authorId="0" shapeId="0">
      <text>
        <t>Water Chemistry (仕込水化学, しこみみずかがく)
Water is 80% of sake by volume (水は酒の80%を占める みずはさけのはちじゅうぱーせんとをしめる).
Minerals affect fermentation (発酵, はっこう) and flavor (風味, ふうみ).
Adjust RO water (RO水) to match style targets.</t>
      </text>
    </comment>
    <comment ref="A79" authorId="0" shapeId="0">
      <text>
        <t>SOURCE WATER PRESET
Select your tap water profile.
Japan regions: Based on traditional brewing waters
USA cities: Based on municipal water reports
Generic: For custom or unknown sources
If your water differs, select "Select" and enter values manually below.</t>
      </text>
    </comment>
    <comment ref="B79" authorId="0" shapeId="0">
      <text>
        <t>Water Profile (水質プロファイル すいしつぷろふぁいる)
Miyamizu (宮水, みやみず): Hard (硬水, こうすい), mineral-rich, Nada (灘, なだ) style
Fushimi (伏見, ふしみ): Soft (軟水, なんすい), feminine style
Hiroshima (広島, ひろしま): Very soft, requires adjustment
Ca:Mg ratio affects fermentation vigor.</t>
      </text>
    </comment>
    <comment ref="A80" authorId="1" shapeId="0">
      <text>
        <t>Calcium (カルシウム Ca²⁺)
Critical mineral for yeast health and flocculation. Target: 5-30 ppm for most styles. Miyamizu (宮水): 40-60 ppm for robust fermentation. Too low = weak ferment, too high = harsh flavor.</t>
      </text>
    </comment>
    <comment ref="B80" authorId="0" shapeId="0">
      <text>
        <t>カルシウム (Ca) - Calcium
Promotes 酵母 health and 凝集.
Target: 5-30 ppm.
宮水: up to 40 ppm.</t>
      </text>
    </comment>
    <comment ref="A81" authorId="1" shapeId="0">
      <text>
        <t>Magnesium (マグネシウム Mg²⁺)
Yeast nutrient affecting fermentation vigor. Target: 2-10 ppm. Works with calcium - Ca:Mg ratio of 3:1 to 5:1 is ideal. Too much creates bitter, metallic notes.</t>
      </text>
    </comment>
    <comment ref="B81" authorId="0" shapeId="0">
      <text>
        <t>マグネシウム (Mg) - Magnesium
酵母栄養素, affects 発酵 vigor.
Target: 2-10 ppm.
Ca:Mg ratio affects character.</t>
      </text>
    </comment>
    <comment ref="B82" authorId="0" shapeId="0">
      <text>
        <t>カリウム (K) - Potassium
Important 酵母栄養素.
Target: 1-5 ppm.
High levels cause 荒さ harshness.</t>
      </text>
    </comment>
    <comment ref="B83" authorId="0" shapeId="0">
      <text>
        <t>塩化物 (Cl) - Chloride
Enhances 甘味 and ボディ.
Target: 10-30 ppm.
Balance with 硫酸塩 for style.</t>
      </text>
    </comment>
    <comment ref="C83" authorId="1" shapeId="0">
      <text>
        <t>Sodium Status Indicator
⚠ High: &gt;50 ppm sodium affects yeast metabolism.
High sodium can inhibit fermentation and produce off-flavors.
Consider dilution with RO water if source is high.
Target: &lt;50 ppm for clean fermentation.</t>
      </text>
    </comment>
    <comment ref="B84" authorId="0" shapeId="0">
      <text>
        <t>硫酸塩 (SO4) - Sulfate
Enhances 辛口 and キレ.
Target: 10-50 ppm.
Higher for 辛口 dry styles.</t>
      </text>
    </comment>
    <comment ref="B85" authorId="0" shapeId="0">
      <text>
        <t>SO₄²⁻ - dryness/crispness</t>
      </text>
    </comment>
    <comment ref="B86" authorId="0" shapeId="0">
      <text>
        <t>PHOSPHATE (PO₄³⁻)
Target: 2-5 ppm
Miyamizu: 5.2 ppm
Effects:
• Works with K and Mg
• Enhances koji growth
• Critical for yeast starter (moto)
Add to moto water, not main fermentation.</t>
      </text>
    </comment>
    <comment ref="B87" authorId="1" shapeId="0">
      <text>
        <t>Iron (鉄, てつ) - Auto-populated from Source Preset
🛑 CRITICAL: &gt;0.02 ppm causes sake browning and stale flavors.
Japanese brewing standard: ≤0.02 ppm (10× stricter than EPA).
Miyamizu benchmark: 0.002-0.003 ppm.
If your water differs from preset, enter measured value manually.
Consider activated carbon filtration if &gt;0.02 ppm.</t>
      </text>
    </comment>
    <comment ref="C87" authorId="1" shapeId="0">
      <text>
        <t>Iron Status Indicator
🛑 Filter required: &gt;0.02 ppm iron causes severe problems.
Iron catalyzes oxidation → browning, stale flavors.
Even 0.02 ppm can darken sake over time.
Use activated carbon or ion exchange filtration.
Target: &lt;0.02 ppm (ideally undetectable).</t>
      </text>
    </comment>
    <comment ref="B88" authorId="1" shapeId="0">
      <text>
        <t>Manganese (マンガン) - Auto-populated from Source Preset
🛑 CRITICAL: &gt;0.02 ppm accelerates oxidative browning.
Combined Fe+Mn is especially problematic.
Japanese brewing standard: ≤0.02 ppm.
If your water differs from preset, enter measured value manually.
Treat with same filtration methods as iron.</t>
      </text>
    </comment>
    <comment ref="C88" authorId="1" shapeId="0">
      <text>
        <t>Manganese Status Indicator
🛑 Filter required: &gt;0.02 ppm manganese causes problems.
Manganese accelerates oxidative browning (similar to iron).
Combined Fe+Mn especially problematic.
Treat with same filtration as iron.
Target: &lt;0.02 ppm (ideally undetectable).</t>
      </text>
    </comment>
    <comment ref="B89" authorId="1" shapeId="0">
      <text>
        <t>pH - Auto-populated from Source Preset
Typical range: 6.5-8.5 for municipal water.
Some cities maintain high pH (8.5-9.5) for lead pipe corrosion control.
RO water: ~6.0 (CO₂ absorption makes it slightly acidic).
For brewing, pH affects enzyme activity and yeast health.
Moto naturally acidifies to pH 4-5 during lactic fermentation.
If your water differs from preset, enter measured value manually.</t>
      </text>
    </comment>
    <comment ref="B90" authorId="0" shapeId="0">
      <text>
        <t>Total hardness</t>
      </text>
    </comment>
    <comment ref="B93" authorId="0" shapeId="0">
      <text>
        <t>TARGET WATER STYLE
Select based on sake style you want to brew:
SOFT WATER STYLES:
• Ginjo/Daiginjo: Delicate, aromatic
• Tanrei Karakuchi: Niigata dry style
• Hiroshima: Ultra-soft, fragrant
HARD WATER STYLES:
• Kimoto/Yamahai: Robust, complex
• Miyamizu: Nada otoko-zake
MEDIUM:
• Junmai: Balanced, full-bodied
• Fushimi: Kyoto onna-zake
Soft water = slower fermentation, delicate
Hard water = faster fermentation, robust</t>
      </text>
    </comment>
    <comment ref="B106" authorId="0" shapeId="0">
      <text>
        <t>RO/DILUTION CHECK
Shows "YES" if source water is too hard:
Triggers when:
• Ca exceeds target by &gt;10 ppm
• Mg exceeds target by &gt;5 ppm
• Na exceeds 50 ppm (salty)
• Hardness exceeds target by &gt;50 mg/L
If YES: Use RO or distilled water to dilute.
Mix RO + tap water BEFORE adding salts.</t>
      </text>
    </comment>
    <comment ref="B107" authorId="1" shapeId="0">
      <text>
        <t>Water Blend Calculation
Based on hardness: Tap% = (Target ÷ Source) × 100
Example: Target 50 ppm, Source 150 ppm
  Tap% = 50/150 × 100 = 33%
  RO% = 100 - 33 = 67%
  Result: 33% × 150 + 67% × 0 = 50 ppm ✓
If target ≥ source hardness:
  Use 100% tap and add minerals to reach target.
Blend waters BEFORE adding salts.
Verify final hardness with test kit.</t>
      </text>
    </comment>
    <comment ref="B110" authorId="0" shapeId="0">
      <text>
        <t>Total water used in entire recipe.
Includes: Moto + Soe + Naka + Tome + Yondan
Salt additions calculated for this volume.</t>
      </text>
    </comment>
    <comment ref="B111" authorId="0" shapeId="0">
      <text>
        <t>Moto (yeast starter) water only.
Traditional practice: add minerals to moto only.
Main fermentation uses untreated water.</t>
      </text>
    </comment>
    <comment ref="B112" authorId="0" shapeId="0">
      <text>
        <t>WHICH WATER TO TREAT?
TOTAL WATER:
• Treats all brewing water
• Consistent mineral profile throughout
• Uses more salt
MOTO ONLY (Traditional):
• Treats yeast starter water only
• Main fermentation uses untreated water
• Uses less salt
• Traditional Japanese practice
Recommendation:
• Homebrew: Total water is easier
• Traditional: Moto only</t>
      </text>
    </comment>
    <comment ref="B113" authorId="0" shapeId="0">
      <text>
        <t>Gypsum adds Ca and SO₄.
Use food-grade brewing gypsum.
Common brands: LD Carlson, Five Star, BSG</t>
      </text>
    </comment>
    <comment ref="A115" authorId="0" shapeId="0">
      <text>
        <t>SALT ADDITION ORDER:
1. KH₂PO₄ FIRST - acts as pH buffer
   Stabilizes water before other additions
2. Gypsum (CaSO₄) - main calcium source
   Adds Ca + SO₄, enhances dryness
   Use warm water, stir well
3. CaCl₂ - only if more Ca needed
   Adds Ca + Cl, enhances fullness
   Skip if gypsum covers Ca target
4. Epsom salt (MgSO₄) - magnesium
   Critical for yeast health
   Dissolves easily in warm water
5. KCl LAST - potassium
   Most important mineral for sake
   Morton Salt Substitute = pure KCl
IMPORTANT:
• Never exceed 2.5 g/L gypsum (solubility)
• Add to water, not water to salts
• CaCl₂ dissolution is exothermic (heats up)</t>
      </text>
    </comment>
    <comment ref="B116" authorId="0" shapeId="0">
      <text>
        <t>KCl adds K and Cl.
Morton Salt Substitute is pure KCl.
Also: Nu-Salt, NoSalt brands.</t>
      </text>
    </comment>
    <comment ref="C117" authorId="0" shapeId="0">
      <text>
        <t>KH₂PO₄ (Potassium Phosphate)
ADD FIRST - buffers pH
Contributes:
• 287 ppm K per g/L
• 698 ppm PO₄ per g/L
Brands: Now Foods, Bulk Supplements
Food grade only!</t>
      </text>
    </comment>
    <comment ref="C118" authorId="0" shapeId="0">
      <text>
        <t>GYPSUM (CaSO₄·2H₂O)
Main calcium source
Contributes:
• 232 ppm Ca per g/L
• 558 ppm SO₄ per g/L
Solubility: Max 2.5 g/L
Use warm water (40°C)
Stir until fully dissolved
Brands: LD Carlson, Five Star, BSG</t>
      </text>
    </comment>
    <comment ref="C119" authorId="0" shapeId="0">
      <text>
        <t>CALCIUM CHLORIDE (CaCl₂·2H₂O)
Use ONLY if gypsum doesn't cover Ca need
Contributes:
• 272 ppm Ca per g/L
• 483 ppm Cl per g/L
WARNING: Dissolution is exothermic!
Add slowly, generates heat.
Chloride enhances fullness.
Sulfate (gypsum) enhances dryness.</t>
      </text>
    </comment>
    <comment ref="C120" authorId="0" shapeId="0">
      <text>
        <t>EPSOM SALT (MgSO₄·7H₂O)
Magnesium source
Contributes:
• 99 ppm Mg per g/L
• 390 ppm SO₄ per g/L
Dissolves easily in warm water.
Food grade (USP) only!
Brands: Epsoak, Dr Teals (unscented)</t>
      </text>
    </comment>
    <comment ref="C121" authorId="0" shapeId="0">
      <text>
        <t>POTASSIUM CHLORIDE (KCl)
ADD LAST - main potassium source
Contributes:
• 524 ppm K per g/L
• 476 ppm Cl per g/L
NOTE: Amount reduced because KH₂PO₄
also contributes potassium (287 ppm K/g/L).
K is the MOST CRITICAL mineral for sake!
Brand: Morton Salt Substitute</t>
      </text>
    </comment>
    <comment ref="A128" authorId="0" shapeId="0">
      <text>
        <t>SODIUM NOTE
Target profiles may show Na targets,
but we do NOT recommend adding NaCl.
Miyamizu naturally has 32 ppm Na,
but this is from the source water,
not from salt additions.
High sodium creates salty, harsh flavors.
Keep Na below 50 ppm.</t>
      </text>
    </comment>
  </commentList>
</comments>
</file>

<file path=xl/comments/comment3.xml><?xml version="1.0" encoding="utf-8"?>
<comments xmlns="http://schemas.openxmlformats.org/spreadsheetml/2006/main">
  <authors>
    <author>Unknown Author</author>
    <author>Toji</author>
  </authors>
  <commentList>
    <comment ref="B4" authorId="0" shapeId="0">
      <text>
        <t>Koji Method (製麹方法, せいぎくほうほう)
Futa-koji (蓋麹, ふたこうじ) tray method: Traditional trays, 1.5kg each, highest control
Hako-koji (箱麹, はここうじ) box method: Boxes, 10-15kg, moderate labor
Ueda/Tarai (上田式/盥 うえだしき/たらい): Plastic tubs, 15kg, simplified control
Machine (機械製麹, きかいせいぎく): Automated, large scale
Method affects equipment (設備, せつび) needs below.</t>
      </text>
    </comment>
    <comment ref="B5" authorId="0" shapeId="0">
      <text>
        <t>Koji Style (破精タイプ はぜたいぷ)
Target koji (麹, こうじ) growth pattern.
Tsuki-haze (突きハゼ つきはぜ): Spotted, deep penetration - for ginjo (吟醸向き ぎんじょうむき)
Sō-haze (総ハゼ そうはぜ): Full surface coverage - for junmai (純米向き じゅんまいむき)
Controlled by: moisture (水分, すいぶん), temperature (温度, おんど), time (時間, じかん), spore amount (種麹量, たねこうじりょう).</t>
      </text>
    </comment>
    <comment ref="B6" authorId="1" shapeId="0">
      <text>
        <t>Select which rice lot is being processed for koji. Polish ratio and timing adjustments will be calculated from Recipe.</t>
      </text>
    </comment>
    <comment ref="B7" authorId="1" shapeId="0">
      <text>
        <t>Polish ratio from selected koji lot (Recipe sheet)</t>
      </text>
    </comment>
    <comment ref="B8" authorId="1" shapeId="0">
      <text>
        <t>Polish-based timing adjustment. Baseline is 70% polish. Each 1% more polishing adds ~12 minutes (0.2 hours). 50% polish = +4h; 40% = +6h. Source: Koji Production Methods guide.</t>
      </text>
    </comment>
    <comment ref="B9" authorId="0" shapeId="0">
      <text>
        <t>Koji Start (製麹開始, せいぎくかいし)
Enter when rice goes into koji room (麹室, こうじむろ) after cooling.
Workflow dates (工程日程, こうていにってい) calculate from this.
Plan backwards (逆算, ぎゃくさん) from moromi (醪, もろみ) start date.</t>
      </text>
    </comment>
    <comment ref="B10" authorId="0" shapeId="0">
      <text>
        <t>Hours since koji start.
Auto-calculated from current time.
Use to track progress through workflow stages.</t>
      </text>
    </comment>
    <comment ref="B13" authorId="0" shapeId="0">
      <text>
        <t>Dry Koji Rice (麹用白米, こうじようはくまい)
From Recipe koji allocation (麹米配分, こうじまいはいぶん).
Starting point for weight progression tracking (重量追跡, じゅうりょうついせき).</t>
      </text>
    </comment>
    <comment ref="B14" authorId="0" shapeId="0">
      <text>
        <t>After Soaking (浸漬後, しんせきご)
Target: 130% of dry weight (白米, はくまい) - 30% absorption (吸水率, きゅうすいりつ).
Varies by polish ratio (精米歩合, せいまいぶあい) and variety (品種, ひんしゅ).
Test with 10-minute soak test (10分浸漬試験 じゅっぷんしんせきしけん) to calibrate.</t>
      </text>
    </comment>
    <comment ref="B15" authorId="0" shapeId="0">
      <text>
        <t>After Steaming (蒸し上がり むしあがり)
Target: 140% of dry weight (白米, はくまい) - 40% moisture (水分, すいぶん).
Should be gaihannai (外硬内軟, がいこうないなん) - firm outside, soft inside.
No hard white core (芯, しん) when bitten.</t>
      </text>
    </comment>
    <comment ref="B16" authorId="0" shapeId="0">
      <text>
        <t>After Drying (引込後, ひきこみご)
Target: 128-131% of dry weight (白米, はくまい) - 28-31% moisture (水分, すいぶん).
Critical moisture reduction (水分調整, すいぶんちょうせい) for tsuki-haze (突きハゼ つきはぜ).
Spread in 25mm layer at 40°C, low humidity (低湿度, ていしつど).</t>
      </text>
    </comment>
    <comment ref="C16" authorId="1" shapeId="0">
      <text>
        <t>Hiki-komi (引込み): Initial koji weight after steaming and cooling, before inoculation. This starting point determines enzyme production capacity. Track weight loss during koji-making (typically 15-18%) to monitor moisture content and enzyme concentration.</t>
      </text>
    </comment>
    <comment ref="B17" authorId="0" shapeId="0">
      <text>
        <t>Final Weight (出麹, でこうじ)
Target: 117-120% of dry weight (白米, はくまい).
Weight loss from moisture evaporation (水分蒸発, すいぶんじょうはつ).
Good koji (麹, こうじ) should feel light and have chestnut aroma (栗香, くりか).</t>
      </text>
    </comment>
    <comment ref="B18" authorId="0" shapeId="0">
      <text>
        <t>FINISHED KOJI WEIGHT (Dekoji)
Target: Dry × 1.15 (dekoji buai 14-17%)
Finished koji is LIGHTER than steamed because:
• Moisture evaporates during cultivation
• Final moisture: 12-19% (optimal 15-17%)
WEIGH your finished koji!
Compare actual vs expected to track yield.
Dekoji buai = (koji_wt - dry_wt) / dry_wt × 100</t>
      </text>
    </comment>
    <comment ref="E21" authorId="0" shapeId="0">
      <text>
        <t>WEIGHT REFERENCE
Shows target weight for key steps:
• Soak: Weight after soaking
• Steam: Weight after steaming
• Dry down: Weight after hiki-komi (Ueda)
• Dekoji: Finished koji weight
WEIGH at each step to verify!</t>
      </text>
    </comment>
    <comment ref="F21" authorId="0" shapeId="0">
      <text>
        <t>Done? - Check when step complete.
Yes = completed
No = not yet done
Helps track progress through workflow.</t>
      </text>
    </comment>
    <comment ref="B22" authorId="0" shapeId="0">
      <text>
        <t>Wash rice thoroughly until water runs clear.
Multiple rinses (5-10) to remove nuka.
Gentle handling to avoid cracking.
Highly polished rice is fragile.</t>
      </text>
    </comment>
    <comment ref="F22" authorId="1" shapeId="0">
      <text>
        <t>Wash rice scheduled time (Batch start + time offset)</t>
      </text>
    </comment>
    <comment ref="B23" authorId="0" shapeId="0">
      <text>
        <t>Soak rice for target absorption.
Time varies by polish ratio:
  70%: 8-12 hours
  60%: 4-8 hours  
  50%: 1-3 hours
  40%: Timed to seconds (limited absorption)</t>
      </text>
    </comment>
    <comment ref="F23" authorId="1" shapeId="0">
      <text>
        <t>Drain rice scheduled time</t>
      </text>
    </comment>
    <comment ref="B24" authorId="0" shapeId="0">
      <text>
        <t>Drain rice until no dripping.
30-60 minutes typically.
'Tsuyudare' - rice glistens but doesn't drip.
Excess water ruins steaming.</t>
      </text>
    </comment>
    <comment ref="F24" authorId="1" shapeId="0">
      <text>
        <t>Soak rice scheduled time</t>
      </text>
    </comment>
    <comment ref="B25" authorId="0" shapeId="0">
      <text>
        <t>Steam rice to gaihannai texture.
40-60 minutes steaming.
外硬内軟 = firm outside, soft inside.
No hard white core when bitten.
Target 40% moisture content.</t>
      </text>
    </comment>
    <comment ref="F25" authorId="1" shapeId="0">
      <text>
        <t>Steam rice scheduled time</t>
      </text>
    </comment>
    <comment ref="B26" authorId="0" shapeId="0">
      <text>
        <t>Cool and spread for hiki-komi drying.
Spread in 25mm layer at 40°C.
Fan to accelerate evaporation.
Target: 28-31% moisture.
Lower moisture = better tsuki-haze.</t>
      </text>
    </comment>
    <comment ref="F26" authorId="1" shapeId="0">
      <text>
        <t>Cool to inoculation temp scheduled time</t>
      </text>
    </comment>
    <comment ref="B27" authorId="0" shapeId="0">
      <text>
        <t>Inoculate with koji spores (tane-tsuke).
Sprinkle tane-koji evenly over rice.
Dosage: 0.05-0.2g per kg rice.
Lower dose = slower, more controlled growth.
Mix thoroughly for even distribution.</t>
      </text>
    </comment>
    <comment ref="F27" authorId="1" shapeId="0">
      <text>
        <t>Inoculation scheduled time</t>
      </text>
    </comment>
    <comment ref="B28" authorId="0" shapeId="0">
      <text>
        <t>Bundle wrapped for toko incubation.
Wrap in cloth, place in koji-muro.
32-35°C, high humidity.
Let spores germinate 10-12 hours.
Rice will stick together slightly.</t>
      </text>
    </comment>
    <comment ref="F28" authorId="1" shapeId="0">
      <text>
        <t>First mixing scheduled time</t>
      </text>
    </comment>
    <comment ref="B29" authorId="0" shapeId="0">
      <text>
        <t>Kirikaeshi - first mixing/breaking.
Break apart stuck rice grains.
Redistribute moisture and heat.
Supply oxygen for koji growth.
Move to trays/tubs if using futa/Ueda method.</t>
      </text>
    </comment>
    <comment ref="F29" authorId="1" shapeId="0">
      <text>
        <t>Box transfer scheduled time</t>
      </text>
    </comment>
    <comment ref="B30" authorId="0" shapeId="0">
      <text>
        <t>Mori - heap/distribute to containers.
Transfer to koji-buta trays or tarai tubs.
Spread to increase surface area.
Temperature control now critical.
Cover to maintain humidity.</t>
      </text>
    </comment>
    <comment ref="F30" authorId="1" shapeId="0">
      <text>
        <t>Middle work scheduled time</t>
      </text>
    </comment>
    <comment ref="B31" authorId="0" shapeId="0">
      <text>
        <t>Naka-shigoto - middle work.
Mix and furrow the koji.
Temperature rising to 34-36°C.
Visible white growth (10-50% coverage).
Draw furrows to release heat.</t>
      </text>
    </comment>
    <comment ref="F31" authorId="1" shapeId="0">
      <text>
        <t>Harvest finished koji scheduled time</t>
      </text>
    </comment>
    <comment ref="B33" authorId="0" shapeId="0">
      <text>
        <t>Dekoji - remove finished koji.
Peak temperature 40-42°C maintained.
Final weight ~118% of dry rice.
Sweet chestnut aroma.
Cool and use within 1-2 days.
Can refrigerate up to 1 week.</t>
      </text>
    </comment>
    <comment ref="B36" authorId="0" shapeId="0">
      <text>
        <t>Moto Method (酛の種類, もとのしゅるい)
Moto (酛, もと) yeast starter method selection.
Sokujo (速醸, そくじょう): Fast, lactic acid added (乳酸添加, にゅうさんてんか) - 2 weeks
Kimoto (生酛, きもと): Traditional, yamaoroshi (山卸し, やまおろし) grinding - 30-40 days
Yamahai (山廃, やまはい): No grinding, natural lactic (天然乳酸, てんねんにゅうさん) - 25-30 days
Bodaimoto (菩提酛, ぼだいもと): Ancient, raw rice soak (生米浸漬, なままいしんせき) - 24 days
Method determines equipment (設備, せつび), timing (日程, にってい), and sake character (酒質, しゅしつ).</t>
      </text>
    </comment>
    <comment ref="B37" authorId="1" shapeId="0">
      <text>
        <t>Moto start date/time - when you begin moto fermentation</t>
      </text>
    </comment>
    <comment ref="B41" authorId="0" shapeId="0">
      <text>
        <t>Moto Rice (酛米, もとまい)
Rice allocated for moto (酛, もと).
Typically 6-10% of total batch rice (総米, そうまい).
Kimoto/Yamahai (生酛/山廃 きもと/やまはい) traditionally use higher %.
Scaled from Recipe moto allocation (酛配分, もとはいぶん).</t>
      </text>
    </comment>
    <comment ref="B42" authorId="0" shapeId="0">
      <text>
        <t>Moto Koji (酛麹, もとこうじ)
Koji (麹, こうじ) allocated for moto (酛, もと).
Typically 28-35% of moto rice (酛米, もとまい) weight.
Higher than moromi (醪, もろみ) ratio for strong enzyme (酵素, こうそ) activity.
Bodaimoto (菩提酛, ぼだいもと) uses up to 40%.</t>
      </text>
    </comment>
    <comment ref="B43" authorId="1" shapeId="0">
      <text>
        <t>Moto water volume (liters) from Allocations</t>
      </text>
    </comment>
    <comment ref="B44" authorId="1" shapeId="0">
      <text>
        <t>Moto kakemai weight (kg) from Allocations</t>
      </text>
    </comment>
    <comment ref="B48" authorId="0" shapeId="0">
      <text>
        <t>Step 1 of moto workflow.
Workflow varies by moto method selected.
Check B33 for current method.</t>
      </text>
    </comment>
    <comment ref="B49" authorId="0" shapeId="0">
      <text>
        <t>Moto workflow step.
Follow timing in column B.
Monitor temperature per method requirements.</t>
      </text>
    </comment>
    <comment ref="B54" authorId="0" shapeId="0">
      <text>
        <t>Enter Soe date (first main addition).
This is Day 0 of moromi fermentation.</t>
      </text>
    </comment>
    <comment ref="B56" authorId="0" shapeId="0">
      <text>
        <t>Toji: Select moromi fermentation style. Standard (20-25 days), Ginjo (25-35 days slower/colder), Daiginjo (30-40 days slowest), Quick (14-20 days warmer).</t>
      </text>
    </comment>
    <comment ref="A61" authorId="0" shapeId="0">
      <text>
        <t>SOE (添) - First addition
Day 0 of moromi. Smallest addition.
Watch for healthy fermentation start.</t>
      </text>
    </comment>
    <comment ref="A62" authorId="0" shapeId="0">
      <text>
        <t>ODORI (踊り) - Dancing/Rest day
No addition. Let yeast multiply.
Foam should be active.</t>
      </text>
    </comment>
    <comment ref="B62" authorId="0" shapeId="0">
      <text>
        <t>Moromi Profile (醪発酵プロファイル もろみはっこうぷろふぁいる)
Moromi (醪, もろみ) fermentation profile.
Standard (標準, ひょうじゅん): 20-25 days, 10-16°C
Ginjo (吟醸, ぎんじょう): 25-35 days, 6-14°C - slower, aromatic (低温長期, ていおんちょうき)
Daiginjo (大吟醸, だいぎんじょう): 30-40 days, 5-12°C - slowest, premium (最低温, さいていおん)
Quick (急造, きゅうぞう): 14-20 days, 12-18°C - warmer, faster (高温短期, こうおんたんき)
Lower temp (低温, ていおん) = more esters (エステル), cleaner profile.</t>
      </text>
    </comment>
    <comment ref="A63" authorId="0" shapeId="0">
      <text>
        <t>NAKA (仲) - Middle addition
Day 2. Medium-sized addition.
Doubles the mash volume.</t>
      </text>
    </comment>
    <comment ref="B63" authorId="1" shapeId="0">
      <text>
        <t>Soe date (Day 0) - first addition date for moromi fermentation</t>
      </text>
    </comment>
    <comment ref="A64" authorId="0" shapeId="0">
      <text>
        <t>TOME (留) - Final addition
Day 3. Largest addition.
Completes the main mash.</t>
      </text>
    </comment>
    <comment ref="B64" authorId="0" shapeId="0">
      <text>
        <t>Days since soe addition.
Auto-calculated from current date.
Use to track fermentation progress and foam stages.</t>
      </text>
    </comment>
    <comment ref="B67" authorId="0" shapeId="0">
      <text>
        <t>Soe (添, そえ) - First Addition
Hatsu-zoe (初添え はつぞえ) - first rice/koji/water (米/麹/水 まい/こうじ/みず) to moto (酛, もと).
Smallest addition (~15% of moromi rice 醪米 もろみまい).
Doubles volume, reduces yeast density (酵母密度, こうぼみつど).
Fermentation (発酵, はっこう) should resume within hours.</t>
      </text>
    </comment>
    <comment ref="B68" authorId="0" shapeId="0">
      <text>
        <t>Odori (踊り おどり) - Dancing/Rest Day
No addition - let yeast (酵母, こうぼ) recover and multiply.
Named for 'dancing' (踊り おどり) bubble activity.
Critical rest before larger additions.</t>
      </text>
    </comment>
    <comment ref="F68" authorId="1" shapeId="0">
      <text>
        <t>Soe date (Day 0)</t>
      </text>
    </comment>
    <comment ref="B69" authorId="0" shapeId="0">
      <text>
        <t>Naka (仲, なか) - Second Addition
Naka-zoe (仲添え なかぞえ) - medium addition.
~33% of moromi rice (醪米, もろみまい).
Again doubles the batch volume.
Fermentation (発酵, はっこう) accelerates after this.</t>
      </text>
    </comment>
    <comment ref="F69" authorId="1" shapeId="0">
      <text>
        <t>Soe date + 1 day (Odori)</t>
      </text>
    </comment>
    <comment ref="B70" authorId="0" shapeId="0">
      <text>
        <t>Tome (留, とめ) - Third Addition
Tome-zoe (留添え とめぞえ) - final addition.
Largest addition (~50% of moromi rice 醪米 もろみまい).
Completes sandan-jikomi (三段仕込み さんだんじこみ) process.
Main fermentation (発酵, はっこう) begins in earnest.</t>
      </text>
    </comment>
    <comment ref="F70" authorId="1" shapeId="0">
      <text>
        <t>Soe date + 2 days (Naka)</t>
      </text>
    </comment>
    <comment ref="F71" authorId="1" shapeId="0">
      <text>
        <t>Soe date + 3 days (Tome)</t>
      </text>
    </comment>
    <comment ref="F72" authorId="1" shapeId="0">
      <text>
        <t>Soe date + 9 days (Yondan)</t>
      </text>
    </comment>
    <comment ref="B76" authorId="0" shapeId="0">
      <text>
        <t>Moromi workflow step.
Track foam stage progression.
Temperature control critical.
Lower temp = more esters/aroma.</t>
      </text>
    </comment>
    <comment ref="G77" authorId="1" shapeId="0">
      <text>
        <t>Soe date + 0 days (Soe)</t>
      </text>
    </comment>
    <comment ref="G78" authorId="1" shapeId="0">
      <text>
        <t>Soe date + 1 days (Odori)</t>
      </text>
    </comment>
    <comment ref="G79" authorId="1" shapeId="0">
      <text>
        <t>Soe date + 2 days (Naka)</t>
      </text>
    </comment>
    <comment ref="G80" authorId="1" shapeId="0">
      <text>
        <t>Soe date + 3 days (Tome)</t>
      </text>
    </comment>
    <comment ref="G81" authorId="1" shapeId="0">
      <text>
        <t>Soe date + 5 days (Suji-awa)</t>
      </text>
    </comment>
    <comment ref="G82" authorId="1" shapeId="0">
      <text>
        <t>Soe date + 7 days (Mizu-awa)</t>
      </text>
    </comment>
    <comment ref="G83" authorId="1" shapeId="0">
      <text>
        <t>Soe date + 10 days (Iwa-awa)</t>
      </text>
    </comment>
    <comment ref="G84" authorId="1" shapeId="0">
      <text>
        <t>Soe date + 11 days (Taka-awa)</t>
      </text>
    </comment>
    <comment ref="G85" authorId="1" shapeId="0">
      <text>
        <t>Soe date + 14 days (Ochi-awa)</t>
      </text>
    </comment>
    <comment ref="G86" authorId="1" shapeId="0">
      <text>
        <t>Soe date + 17 days (Tama-awa)</t>
      </text>
    </comment>
    <comment ref="G87" authorId="1" shapeId="0">
      <text>
        <t>Soe date + 21 days (Ji)</t>
      </text>
    </comment>
    <comment ref="G88" authorId="1" shapeId="0">
      <text>
        <t>Soe date + 24 days (Jōsō ready)</t>
      </text>
    </comment>
    <comment ref="A90" authorId="0" shapeId="0">
      <text>
        <t>Dynamic equipment list based on batch size and methods.
Quantities calculate from:
- Total rice (Recipe!B4)
- Koji method (Plan!B4)
- Moto method (Plan!B33)
- Stage allocations
Use 'Have?' column to track inventory.</t>
      </text>
    </comment>
    <comment ref="B92" authorId="0" shapeId="0">
      <text>
        <t>Washing Bags (米袋, こめぶくろ)
Draw-string mesh bags for rice washing (洗米, せんまい).
22" square standard size, holds ~5kg dry rice (白米, はくまい).
Submerge and agitate to remove bran residue (糠, ぬか).
Wash until water runs clear (水が透明になるまで みずがとうめいになるまで) - 3-5 rinses.</t>
      </text>
    </comment>
    <comment ref="D92" authorId="0" shapeId="0">
      <text>
        <t>Washing Bags (米袋, こめぶくろ)
Based on LARGEST STAGE rice, not total batch.
You reuse bags for each stage on brew day.
5kg per bag.</t>
      </text>
    </comment>
    <comment ref="B93" authorId="0" shapeId="0">
      <text>
        <t>Soaking Vessel (浸漬桶, しんせきおけ)
Water volume = 1.5× rice weight (米重量, こめじゅうりょう) minimum.
Soak time (浸漬時間, しんせきじかん) varies by polish (精米歩合, せいまいぶあい):
  70%: 8-12 hours (時間, じかん)
  60%: 4-8 hours
  50%: 1-3 hours
  40%: seconds only (秒単位, びょうたんい) - limited absorption (限定吸水, げんていきゅうすい)
Target: 30% water absorption (吸水率, きゅうすいりつ).</t>
      </text>
    </comment>
    <comment ref="B94" authorId="0" shapeId="0">
      <text>
        <t>Draining Baskets (ざる)
Bamboo or stainless steel mesh.
Drain (水切り みずきり) for 30-60 minutes after soaking.
Rice should be tsuyudare (つゆだれ) - glistens but no dripping.
Size for largest single steaming (蒸し, むし) batch.</t>
      </text>
    </comment>
    <comment ref="B95" authorId="0" shapeId="0">
      <text>
        <t>Rice Steamer (甑, こしき)
Traditional: Cedar (杉, すぎ) wood, wide shallow shape
Modern: Stainless steel (ステンレス), multi-tier
Steam time (蒸し時間, むしじかん) 40-60 minutes until:
  - No white core (芯, しん) visible
  - Gaihannai (外硬内軟, がいこうないなん) texture - firm outside, soft inside
  - 40% moisture (水分, すいぶん) content
Capacity sized for largest batch + koji rice (麹米, こうじまい).</t>
      </text>
    </comment>
    <comment ref="B96" authorId="0" shapeId="0">
      <text>
        <t>Steamer Cloths (蒸し布, むしぬの)
Cotton or hemp, 28"×40" standard.
Line koshiki (甑, こしき) basket to prevent sticking.
One cloth per 5kg rice layer.
Boil before first use (初使用前に煮沸, しょしようまえにしゃふつ) to remove sizing.
Wash and dry completely between uses.</t>
      </text>
    </comment>
    <comment ref="D96" authorId="0" shapeId="0">
      <text>
        <t>Steamer Cloths (蒸し布, むしぬの)
Based on LARGEST STAGE steamed weight.
One cloth per 5kg, plus spare.
Reuse for each steaming.</t>
      </text>
    </comment>
    <comment ref="B97" authorId="0" shapeId="0">
      <text>
        <t>Cooling Surface (放冷台, ほうれいだい)
Stainless steel table or clean cloth spread.
Spread steamed rice thin to cool (薄く広げて冷却 うすくひろげてれいきゃく).
Target temps:
  Koji rice (麹米, こうじまい): Cool to 35°C for inoculation (種付け たねつけ)
  Kake rice (掛米, かけまい): Cool to 10-12°C for moromi (醪, もろみ)
Fan cooling (扇風機, せんぷうき) or night air (夜風, よかぜ) traditional.</t>
      </text>
    </comment>
    <comment ref="B98" authorId="0" shapeId="0">
      <text>
        <t>Koji Trays (麹蓋, こうじぶた)
Traditional shallow cedar (杉, すぎ) trays, ~30×45cm.
Hold 1.5kg steamed rice (蒸米, むしまい) each.
Used in futa-koji method (蓋麹法, ふたこうじほう) for premium sake.
Allows precise temperature control (温度管理, おんどかんり) per tray.
Tsumi-kae (積み替え つみかえ) - stack and rotate every 3-5 hours.
Labor intensive (労力大, ろうりょくだい) but highest quality (最高品質, さいこうひんしつ).</t>
      </text>
    </comment>
    <comment ref="D98" authorId="0" shapeId="0">
      <text>
        <t>Koji Trays (麹蓋, こうじぶた)
For futa-koji (蓋麹) only. 1.5kg/tray.
If muro capacity set: sized for ONE batch
If muro = 0: sized for total koji rice
Reuse trays for multiple batches.</t>
      </text>
    </comment>
    <comment ref="B99" authorId="0" shapeId="0">
      <text>
        <t>Plastic Tubs (盥, たらい)
Ueda method (上田式, うえだしき) containers.
Food-grade (食品グレード しょくひんぐれーど) plastic, ~15kg capacity.
Modern alternative to wooden trays.
Non-porous (非吸水性, ひきゅうすいせい) = no humidity management (湿度管理, しつどかんり) needed.
Easier cleaning and sanitation (洗浄/殺菌 せんじょう/さっきん).
Good for craft/homebrew scale.</t>
      </text>
    </comment>
    <comment ref="D99" authorId="0" shapeId="0">
      <text>
        <t>Koji Tubs (盥, たらい)
For Ueda method (上田式) only. 15kg/tub.
If muro capacity set: sized for ONE batch
If muro = 0: sized for total koji rice</t>
      </text>
    </comment>
    <comment ref="B100" authorId="0" shapeId="0">
      <text>
        <t>Koji Boxes (箱, はこ)
Larger containers, 10-15kg capacity.
Middle ground between trays (蓋, ふた) and tubs (盥, たらい).
Less labor than futa-koji method (蓋麹法, ふたこうじほう).
Good for sō-haze (総ハゼ そうはぜ) style koji (麹, こうじ).</t>
      </text>
    </comment>
    <comment ref="D100" authorId="0" shapeId="0">
      <text>
        <t>Koji Boxes (箱, はこ)
For hako-koji (箱麹) only. 10kg/box.
If muro capacity set: sized for ONE batch
If muro = 0: sized for total koji rice</t>
      </text>
    </comment>
    <comment ref="B101" authorId="0" shapeId="0">
      <text>
        <t>Wrapping Cloths (包み布 つつみぬの)
Cotton cloths for bundling koji rice (麹米, こうじまい).
Used during toko (床, とこ) floor initial incubation.
Maintains humidity and warmth (保温保湿, ほおんほしつ).
One per 5kg rice batch.
Remove at kirikaeshi (切り返し きりかえし) first mixing.</t>
      </text>
    </comment>
    <comment ref="D101" authorId="0" shapeId="0">
      <text>
        <t>Wrapping Cloths (包み布 つつみぬの)
One per 5kg steamed koji rice.
Sized for single muro batch.
Reuse for subsequent batches.</t>
      </text>
    </comment>
    <comment ref="B102" authorId="0" shapeId="0">
      <text>
        <t>Incubation Chamber (麹室, こうじむろ)
Temperature (温度, おんど): 28-42°C controlled
Humidity (湿度, しつど): 60-90% depending on stage
Size: 2-3 sq m minimum for small scale
Options:
  Dedicated room (専用室, せんようしつ) with heater/humidifier
  Insulated cabinet (断熱キャビネット だんねつきゃびねっと) with heat mat
  Modified cooler (改造クーラーボックス かいぞうくーらーぼっくす) with temp control
Critical: stable temp (安定した温度 あんていしたおんど), good ventilation (良好な換気 りょうこうなかんき).</t>
      </text>
    </comment>
    <comment ref="B103" authorId="0" shapeId="0">
      <text>
        <t>Moto Vessel (酒母桶, しゅぼおけ)
Small tank for yeast starter (酵母スターター こうぼすたーたー).
Size: moto volume (酛容量, もとようりょう) × 1.5 for headspace.
Traditional: wooden tub (木桶, きおけ)
Modern: stainless (ステンレス) or food-grade plastic (食品グレードプラスチック)
Must allow:
  - Easy stirring (攪拌, かくはん) access
  - Temperature monitoring (温度監視, おんどかんし)
  - Covering (not airtight 密閉 みっぺい)</t>
      </text>
    </comment>
    <comment ref="B104" authorId="0" shapeId="0">
      <text>
        <t>Shallow Tubs (半切, はんぎり)
Used in kimoto (生酛, きもと) for temoto (手酛, てもと) division.
Traditional: 8 tubs (8個 はちこ), 5-10L each.
Rice/koji/water (米/麹/水 まい/こうじ/みず) divided among tubs.
Mixed in rotating shifts overnight (交代で一晩中混合, こうたいでひとばんじゅうこんごう).
Combined into tsubodai (壺代, つぼだい) after yamaoroshi (山卸し, やまおろし).
Cedar or cypress (杉/檜 すぎ/ひのき) wood traditional.</t>
      </text>
    </comment>
    <comment ref="B105" authorId="0" shapeId="0">
      <text>
        <t>Mixing Paddle (櫂, かい)
Long wooden pole, 1-2 meters.
Used for yamaoroshi (山卸し, やまおろし) grinding in kimoto (生酛, きもと).
Also called kaibō (櫂棒, かいぼう) when paddle-shaped.
Pole-ramming (突き作業 つきさぎょう) grinds rice/koji (米/麹 まい/こうじ) to paste.
Moto-suri songs (酛摺り唄 もとすりうた) maintain rhythm.
10-12 hours work over 3 days.</t>
      </text>
    </comment>
    <comment ref="B106" authorId="0" shapeId="0">
      <text>
        <t>Warming Containers (抱樽, だきだる)
Hot water jugs for warming (暖気, だき) moto (酛, もと).
Used in kimoto (生酛, きもと) dakidaru phase (抱樽期, だきだるき) - Days 4-14.
Placed in/around moto vessel (酛容器, もとようき).
Raise temp 2-3°C, allow natural cooling.
Zigzag ramping (ジグザグ昇温 じぐざぐしょうおん) to ~20°C target.
Modern: immersion heater (投げ込みヒーター なげこみひーたー) or water bath.</t>
      </text>
    </comment>
    <comment ref="B107" authorId="0" shapeId="0">
      <text>
        <t>Primary Fermenter (醪桶, もろみおけ)
Main fermentation vessel (発酵容器, はっこうようき).
Size: 2× theoretical volume for foam (泡, あわ)!
Taka-awa (高泡, たかあわ) high foam stage needs headspace.
Traditional: roku-shaku-oke (六尺桶, ろくしゃくおけ) 6-foot vat
Modern: stainless tanks (ステンレスタンク) with cooling
Homebrew: food-grade bucket (食品グレードバケツ) / carboy
Open top or loose cover (CO2 escape).</t>
      </text>
    </comment>
    <comment ref="B108" authorId="0" shapeId="0">
      <text>
        <t>Moromi Paddle (櫂, かい)
Long paddle for kai-ire (櫂入れ かいいれ) twice-daily stirring.
Homogenizes temperature (温度均一化, おんどきんいつか) throughout tank.
Releases excess CO2.
Resuspends settled solids (沈殿物, ちんでんぶつ).
Gentle stirring (優しく攪拌 やさしくかくはん) - don't over-aerate (過度に曝気, かどにばっき).</t>
      </text>
    </comment>
    <comment ref="B109" authorId="0" shapeId="0">
      <text>
        <t>Cover/Airlock (蓋 ふた / エアロック)
Loose-fitting lid (蓋, ふた) or cloth cover.
Allows CO2 to escape.
Prevents contamination (汚染, おせん) / insects (虫, むし).
NOT airtight (密閉, みっぺい) - sake is open fermentation (開放発酵, かいほうはっこう).
Traditional: wooden lid with gaps.</t>
      </text>
    </comment>
    <comment ref="B110" authorId="0" shapeId="0">
      <text>
        <t>Press Bags (酒袋, さかぶくろ)
Canvas or synthetic bags for pressing.
Each bag holds ~6L of moromi.
Traditional fune (槽, ふね) pressing:
Load bags, press, empty, reload.
Bags are reused across multiple runs.
Quantity shown is for ONE press load.
Actual need depends on your fune size.</t>
      </text>
    </comment>
    <comment ref="D110" authorId="0" shapeId="0">
      <text>
        <t>Press Bags (酒袋, さかぶくろ)
Based on FUNE CAPACITY, not total moromi!
6L moromi per bag.
If fune capacity set: bags for ONE press run
If fune = 0: bags for total moromi
Reuse bags for each pressing run.
Wash and dry between runs.</t>
      </text>
    </comment>
    <comment ref="B111" authorId="0" shapeId="0">
      <text>
        <t>Traditional Press (槽, ふね)
Wooden or stainless box for pressing (上槽, じょうそう).
Bags (酒袋, さかぶくろ) stacked inside, lid pressed down (蓋で加圧, ふたでかあつ).
Traditional: hanegi (撥ね木 はねぎ) lever with stone weights
Modern: hydraulic (油圧, ゆあつ) or screw press
Pressing (搾り しぼり) phases:
  Arabashiri (荒走り あらばしり): free-run, first drips
  Nakadori (中取り なかどり): middle run, best quality (最高品質, さいこうひんしつ)
  Seme (責め せめ): final press, rougher</t>
      </text>
    </comment>
    <comment ref="B112" authorId="0" shapeId="0">
      <text>
        <t>Drip Collection (垂れ口 たれくち)
Vessel to catch pressed sake (搾り酒 しぼりざけ).
Positioned under fune (槽, ふね) drain.
Size for expected yield (予想収量, よそうしゅうりょう) + margin.
Stainless (ステンレス) or glass (ガラス) preferred.
Keep covered to prevent contamination (汚染, おせん).</t>
      </text>
    </comment>
    <comment ref="B113" authorId="0" shapeId="0">
      <text>
        <t>Secondary Vessels (貯蔵桶, ちょぞうおけ)
For racking/clarification (澱引き おりびき) and aging (熟成, じゅくせい).
Glass carboys (ガラスカーボイ) ideal - visible clarity.
4L size convenient for handling.
Allow lees (滓, おり) to settle.
Rack off clear sake after 1-2 weeks.</t>
      </text>
    </comment>
    <comment ref="B114" authorId="0" shapeId="0">
      <text>
        <t>Bottles (瓶, びん)
Standard sake bottle (酒瓶, さかびん): 720mL (4 go 合 ごう).
Also common: 1.8L isshobin (一升瓶, いっしょうびん).
Dark glass (茶色ガラス ちゃいろがらす) protects from light (光, ひかり).
Crown caps (王冠, おうかん) or screw tops (スクリューキャップ).
Sanitize (殺菌, さっきん) before filling.</t>
      </text>
    </comment>
    <comment ref="B115" authorId="0" shapeId="0">
      <text>
        <t>Scale (秤, はかり)
Capacity: at least total rice weight (総米重量, そうまいじゅうりょう).
Precision (精度, せいど): 0.1g for tane-koji (種麹, たねこうじ) dosing.
Koji spores (種麹, たねこうじ): 0.05-0.2g per kg rice.
Accuracy critical for reproducibility (再現性, さいげんせい).</t>
      </text>
    </comment>
    <comment ref="B116" authorId="0" shapeId="0">
      <text>
        <t>Thermometer (温度計, おんどけい)
Multiple needed:
  Room (室温, しつおん) / muro (麹室, こうじむろ) ambient temperature
  Product (品温, ひんおん) core temperature - probe
  Instant-read (瞬間読み しゅんかんよみ) for spot checks
Critical temps (温度, おんど) to monitor:
  Koji (麹, こうじ): 30-42°C range
  Moto (酛, もと): 5-20°C depending on stage
  Moromi (醪, もろみ): 6-18°C fermentation</t>
      </text>
    </comment>
    <comment ref="B117" authorId="0" shapeId="0">
      <text>
        <t>pH Meter (pH計 ぺーはーけい)
Digital meter or test strips.
Monitor moto (酛, もと) acidification (酸性化, さんせいか):
  Target: pH 3.5-4.0
  Total acidity (総酸, そうさん): &gt;3.0 for safety
Moromi (醪, もろみ) pH typically 4.0-4.5.
Calibrate regularly (定期的に校正, ていきてきにこうせい).</t>
      </text>
    </comment>
    <comment ref="B118" authorId="0" shapeId="0">
      <text>
        <t>Hydrometer (糖度計, とうどけい)
Measures sugar (糖度, とうど) / density (密度, みつど).
Sake uses Baumé (ボーメ) or Nihonshudo (日本酒度 にほんしゅど SMV).
Track fermentation progress (発酵進行, はっこうしんこう):
  Start: +40 to +50 Bé
  Finish: 0 to -3 Bé - dry (辛口, からくち)
Refractometer (屈折計, くっせつけい) needs less sample.</t>
      </text>
    </comment>
    <comment ref="B119" authorId="0" shapeId="0">
      <text>
        <t>Timer (タイマー)
Critical for:
  Limited absorption (限定吸水, げんていきゅうすい) soaking - seconds (秒単位, びょうたんい)!
  Steaming duration (蒸し時間, むしじかん): 40-60 min (分, ふん)
  Koji work intervals (麹手入れ こうじていれ): 3-5 hours (時間, じかん)
  Pasteurization (火入れ ひいれ) hold time
Smartphone works, but dedicated timer better.</t>
      </text>
    </comment>
  </commentList>
</comments>
</file>

<file path=xl/comments/comment4.xml><?xml version="1.0" encoding="utf-8"?>
<comments xmlns="http://schemas.openxmlformats.org/spreadsheetml/2006/main">
  <authors>
    <author>Toji</author>
  </authors>
  <commentList>
    <comment ref="B4" authorId="0" shapeId="0">
      <text>
        <t>Enter your measured steamed rice weight.
Steamed rice = Dry × 1.40</t>
      </text>
    </comment>
    <comment ref="B6" authorId="0" shapeId="0">
      <text>
        <t>Enter your measured soaked rice weight.
Soaked rice = Dry × 1.30</t>
      </text>
    </comment>
    <comment ref="E8" authorId="0" shapeId="0">
      <text>
        <t>ABV₁ × V₁ = ABV₂ × V₂
Water to add = Final - Current</t>
      </text>
    </comment>
    <comment ref="B10" authorId="0" shapeId="0">
      <text>
        <t>Water absorption rate (吸水率).
Ideal: 28-32% for most sake.
Ginjo rice: aim for 28-30%.
Table rice: can go 30-32%.</t>
      </text>
    </comment>
    <comment ref="E11" authorId="0" shapeId="0">
      <text>
        <t>Enter SG reading.
Example: 1.000, 0.998, 1.045</t>
      </text>
    </comment>
    <comment ref="E12" authorId="0" shapeId="0">
      <text>
        <t>Sake Meter Value (日本酒度)
+値 = Dry (辛口)
-値 = Sweet (甘口)
+10 to +15: Very dry
+3 to +10: Dry
-3 to +3: Neutral
-10 to -3: Sweet
&lt;-10: Very sweet</t>
      </text>
    </comment>
    <comment ref="B13" authorId="0" shapeId="0">
      <text>
        <t>Weight immediately after steaming.
Before any drying/cooling.</t>
      </text>
    </comment>
    <comment ref="B14" authorId="0" shapeId="0">
      <text>
        <t>Target weight after dry-down.
Multiply steamed weight by 0.85.
This removes ~15% moisture, bringing
rice from ~40% to ~28-31% moisture.
Stop drying when scale shows this weight.</t>
      </text>
    </comment>
    <comment ref="B16" authorId="0" shapeId="0">
      <text>
        <t>Recommended: 38-42°C (100-108°F)
Higher temp = faster drying
Too hot (&gt;45°C) risks cooking the rice</t>
      </text>
    </comment>
    <comment ref="B17" authorId="0" shapeId="0">
      <text>
        <t>Recommended: &lt;50% RH
Use dehumidifier if ambient is higher
Lower humidity = faster drying</t>
      </text>
    </comment>
    <comment ref="B18" authorId="0" shapeId="0">
      <text>
        <t>Estimated time to reach target weight.
This is approximate - actual time varies with:
• Rice spread thickness (thinner = faster)
• Air circulation (fan helps)
• Batch size
Check weight every 15 min and stop when target reached.</t>
      </text>
    </comment>
    <comment ref="B20" authorId="0" shapeId="0">
      <text>
        <t>Rice weight at inoculation.
For Ueda: use hiki-komi weight.
For others: use steamed weight.</t>
      </text>
    </comment>
    <comment ref="B21" authorId="0" shapeId="0">
      <text>
        <t>Standard futa trays: 1.5 kg
Large hako boxes: 15 kg
Ueda tarai tubs: 15 kg</t>
      </text>
    </comment>
    <comment ref="E25" authorId="0" shapeId="0">
      <text>
        <t>Rough genshu yield estimate.
Assumes: 1.3 L/kg water ratio, 63% press efficiency.
Actual varies with press method and style.</t>
      </text>
    </comment>
    <comment ref="B31" authorId="0" shapeId="0">
      <text>
        <t>Common concentrations:
88% = food grade (most common)
85% = some suppliers
50% = diluted/safer to handle</t>
      </text>
    </comment>
    <comment ref="E32" authorId="0" shapeId="0">
      <text>
        <t>Rough fermentation progress.
Baumé drops from ~14 to ~0 or negative.
100% = fermentation complete.</t>
      </text>
    </comment>
    <comment ref="E38" authorId="0" shapeId="0">
      <text>
        <t>Seimai-buai (精米歩合).
70 = table rice
60 = ginjo
50 = daiginjo
35 = ultra premium</t>
      </text>
    </comment>
    <comment ref="E39" authorId="0" shapeId="0">
      <text>
        <t>Crude protein of unpolished rice.
Sake rice: 6-7%
Table rice: 6-8%</t>
      </text>
    </comment>
    <comment ref="B43" authorId="0" shapeId="0">
      <text>
        <t>Refractometer reading.
Brix measures sugar content by weight.</t>
      </text>
    </comment>
    <comment ref="E44" authorId="0" shapeId="0">
      <text>
        <t>Typical ratios:
1.2-1.3 = Standard
1.1-1.2 = Thick (koi)
1.3-1.4 = Thin (ama)</t>
      </text>
    </comment>
    <comment ref="B48" authorId="0" shapeId="0">
      <text>
        <t>Tsuki-haze (Ginjo): 0.05-0.1 g/kg - spotted, refined
Sou-haze (Standard): 0.1-0.2 g/kg - full coverage
High-enzyme (Moto): 0.2-0.3 g/kg - maximum enzyme</t>
      </text>
    </comment>
    <comment ref="B49" authorId="0" shapeId="0">
      <text>
        <t>Cooled steamed rice weight at inoculation.
For Ueda: use hiki-komi weight.</t>
      </text>
    </comment>
    <comment ref="E49" authorId="0" shapeId="0">
      <text>
        <t>Typical yields:
60-65% = Gravity/bag press
70-75% = Fune press
80%+ = Yabuta machine</t>
      </text>
    </comment>
    <comment ref="B51" authorId="0" shapeId="0">
      <text>
        <t>0-3 mo: fresh, no adjustment
3-6 mo: +25%
6-12 mo: +50%
&gt;12 mo: +100% (replace soon)</t>
      </text>
    </comment>
    <comment ref="B54" authorId="0" shapeId="0">
      <text>
        <t>Carrier (toasted rice flour) to spores.
3:1 = minimal
5:1 = standard
10:1 = heavy (beginners)</t>
      </text>
    </comment>
    <comment ref="B57" authorId="0" shapeId="0">
      <text>
        <t>2 passes recommended:
Pass 1: ~60%, then mix rice
Pass 2: ~40%</t>
      </text>
    </comment>
    <comment ref="B64" authorId="0" shapeId="0">
      <text>
        <t>Common sizes:
720 mL = Yongobin (standard)
300 mL = Small
1800 mL = Isshobin (large)</t>
      </text>
    </comment>
    <comment ref="B74" authorId="0" shapeId="0">
      <text>
        <t>Titratable acidity (滴定酸度).
Typical: 1.2-1.8 mL</t>
      </text>
    </comment>
    <comment ref="E74" authorId="0" shapeId="0">
      <text>
        <t>Typical: 5-10% of total moromi
5-7% = Standard
7-10% = Cold ferment/ginjo
3-5% = Warm/quick</t>
      </text>
    </comment>
    <comment ref="B80" authorId="0" shapeId="0">
      <text>
        <t>Minimum wash water: 3× rice weight.
For multiple washes, use fresh water each time.</t>
      </text>
    </comment>
    <comment ref="E80" authorId="0" shapeId="0">
      <text>
        <t>Typical koji ratios:
18-20% = Light/ginjo
20-22% = Standard
23-25% = Rich/junmai</t>
      </text>
    </comment>
    <comment ref="B90" authorId="0" shapeId="0">
      <text>
        <t>Final temperature from mixing rice and water.
Uses specific heat:
Rice = 2.7 kJ/kg·K
Water = 4.186 kJ/kg·K
Formula:
Tf = (mr×2.7×Tr + mw×4.186×Tw) / (mr×2.7 + mw×4.186)</t>
      </text>
    </comment>
    <comment ref="B99" authorId="0" shapeId="0">
      <text>
        <t>Three-component mash temperature.
Specific heat (kJ/kg·K):
Rice = 2.7
Koji = 1.8
Water = 4.186
Used for soe, naka, tome stages.</t>
      </text>
    </comment>
    <comment ref="B104" authorId="0" shapeId="0">
      <text>
        <t>Traditional toji shortcut method.
Calculates required steamed rice temperature to hit target mash temp.
Example: Target 7°C, mizu-koji 5°C
Rice = (7-5)×3.5+5 = 12°C
The 3.5 multiplier accounts for rice having ~40% the thermal mass of water.</t>
      </text>
    </comment>
  </commentList>
</comments>
</file>

<file path=xl/comments/comment5.xml><?xml version="1.0" encoding="utf-8"?>
<comments xmlns="http://schemas.openxmlformats.org/spreadsheetml/2006/main">
  <authors>
    <author>Toji</author>
  </authors>
  <commentList>
    <comment ref="B8" authorId="0" shapeId="0">
      <text>
        <t>Final weight of shio koji. Start with 0.5-1 kg for home use.</t>
      </text>
    </comment>
    <comment ref="B9" authorId="0" shapeId="0">
      <text>
        <t>Traditional 12-15%. Lower (10-12%) = sweeter, faster spoilage. Higher (15-18%) = longer shelf life.</t>
      </text>
    </comment>
    <comment ref="B12" authorId="0" shapeId="0">
      <text>
        <t>Dry rice koji. ~2/3 of final weight.</t>
      </text>
    </comment>
    <comment ref="B13" authorId="0" shapeId="0">
      <text>
        <t>Fine sea salt or kosher salt. Avoid iodized.</t>
      </text>
    </comment>
    <comment ref="B14" authorId="0" shapeId="0">
      <text>
        <t>Dechlorinated water. Koji should be just submerged.</t>
      </text>
    </comment>
    <comment ref="B17" authorId="0" shapeId="0">
      <text>
        <t>Break up koji, ensure salt dissolves.</t>
      </text>
    </comment>
    <comment ref="B18" authorId="0" shapeId="0">
      <text>
        <t>Stir daily. Ready when porridge-like consistency.</t>
      </text>
    </comment>
    <comment ref="B19" authorId="0" shapeId="0">
      <text>
        <t>Continues to develop flavor. Safe due to salt.</t>
      </text>
    </comment>
    <comment ref="B27" authorId="0" shapeId="0">
      <text>
        <t>Final volume. Will be thick; dilute to taste when serving.</t>
      </text>
    </comment>
    <comment ref="B30" authorId="0" shapeId="0">
      <text>
        <t>Short-grain white rice. Polish ratio doesn't matter much.</t>
      </text>
    </comment>
    <comment ref="B31" authorId="0" shapeId="0">
      <text>
        <t>Equal parts rice and koji by dry weight is traditional.</t>
      </text>
    </comment>
    <comment ref="B32" authorId="0" shapeId="0">
      <text>
        <t>For cooking rice and mixing. Adjust for desired thickness.</t>
      </text>
    </comment>
    <comment ref="B35" authorId="0" shapeId="0">
      <text>
        <t>More water than normal. Can use rice cooker porridge setting.</t>
      </text>
    </comment>
    <comment ref="B36" authorId="0" shapeId="0">
      <text>
        <t>Critical: above 60°C kills koji enzymes.</t>
      </text>
    </comment>
    <comment ref="B37" authorId="0" shapeId="0">
      <text>
        <t>Use rice cooker on warm, oven, or insulated container.</t>
      </text>
    </comment>
    <comment ref="B38" authorId="0" shapeId="0">
      <text>
        <t>Stir occasionally. Taste for sweetness.</t>
      </text>
    </comment>
    <comment ref="B39" authorId="0" shapeId="0">
      <text>
        <t>Pasteurize (85°C, 5 min) to halt enzymes if desired.</t>
      </text>
    </comment>
    <comment ref="B47" authorId="0" shapeId="0">
      <text>
        <t>Final weight. Home batches typically 2-5 kg.</t>
      </text>
    </comment>
    <comment ref="B48" authorId="0" shapeId="0">
      <text>
        <t>Koji:soy ratio. 0.5=hatcho (dark). 1.0=standard. 2.0=shiro (sweet white).</t>
      </text>
    </comment>
    <comment ref="B49" authorId="0" shapeId="0">
      <text>
        <t>10-13% typical. Higher = slower ferment, longer storage.</t>
      </text>
    </comment>
    <comment ref="B52" authorId="0" shapeId="0">
      <text>
        <t>Dry soybeans. Will approximately double when soaked/cooked.</t>
      </text>
    </comment>
    <comment ref="B53" authorId="0" shapeId="0">
      <text>
        <t>Or barley koji (mugi miso) or soy koji (hatcho).</t>
      </text>
    </comment>
    <comment ref="B54" authorId="0" shapeId="0">
      <text>
        <t>Sea salt or kosher. Mix with koji before combining.</t>
      </text>
    </comment>
    <comment ref="B55" authorId="0" shapeId="0">
      <text>
        <t>Reserved cooking water (ame). Add as needed for texture.</t>
      </text>
    </comment>
    <comment ref="B58" authorId="0" shapeId="0">
      <text>
        <t>Sweet, mild. High koji, low salt, short ferment.</t>
      </text>
    </comment>
    <comment ref="B59" authorId="0" shapeId="0">
      <text>
        <t>Balanced, all-purpose. Standard ratio.</t>
      </text>
    </comment>
    <comment ref="B60" authorId="0" shapeId="0">
      <text>
        <t>Deep, complex. Longer ferment develops color.</t>
      </text>
    </comment>
    <comment ref="B61" authorId="0" shapeId="0">
      <text>
        <t>Intense umami. No rice/barley koji. Miso balls pressed.</t>
      </text>
    </comment>
    <comment ref="B62" authorId="0" shapeId="0">
      <text>
        <t>Earthy, rustic. Popular in Kyushu.</t>
      </text>
    </comment>
    <comment ref="B65" authorId="0" shapeId="0">
      <text>
        <t>Until doubled in size, no hard center.</t>
      </text>
    </comment>
    <comment ref="B66" authorId="0" shapeId="0">
      <text>
        <t>Done when easily crushable between fingers.</t>
      </text>
    </comment>
    <comment ref="B67" authorId="0" shapeId="0">
      <text>
        <t>Food processor, meat grinder, or by hand. Some chunks OK.</t>
      </text>
    </comment>
    <comment ref="B68" authorId="0" shapeId="0">
      <text>
        <t>Salt inhibits unwanted bacteria, distributes evenly.</t>
      </text>
    </comment>
    <comment ref="B69" authorId="0" shapeId="0">
      <text>
        <t>Add cooking liquid (ame) for workable texture.</t>
      </text>
    </comment>
    <comment ref="B70" authorId="0" shapeId="0">
      <text>
        <t>Miso balls thrown into crock to eliminate air.</t>
      </text>
    </comment>
    <comment ref="B71" authorId="0" shapeId="0">
      <text>
        <t>Plastic wrap on surface, weight, cover. Prevents mold.</t>
      </text>
    </comment>
    <comment ref="B72" authorId="0" shapeId="0">
      <text>
        <t>Taste periodically. Mix once at 3-6 months (tenchi-gaeshi).</t>
      </text>
    </comment>
    <comment ref="B80" authorId="0" shapeId="0">
      <text>
        <t>Final volume after pressing.</t>
      </text>
    </comment>
    <comment ref="B81" authorId="0" shapeId="0">
      <text>
        <t>35-40% typical. Use neutral (korui) or honkaku for character.</t>
      </text>
    </comment>
    <comment ref="B84" authorId="0" shapeId="0">
      <text>
        <t>Mochi-gome (糯米). Waxy starch = thick, sweet body.</t>
      </text>
    </comment>
    <comment ref="B85" authorId="0" shapeId="0">
      <text>
        <t>High-enzyme koji for saccharification.</t>
      </text>
    </comment>
    <comment ref="B86" authorId="0" shapeId="0">
      <text>
        <t>Diluted to ~14% final ABV. Prevents fermentation.</t>
      </text>
    </comment>
    <comment ref="B87" authorId="0" shapeId="0">
      <text>
        <t>Steamed weight = dry × 1.4</t>
      </text>
    </comment>
    <comment ref="B90" authorId="0" shapeId="0">
      <text>
        <t>Glutinous rice needs careful steaming.</t>
      </text>
    </comment>
    <comment ref="B91" authorId="0" shapeId="0">
      <text>
        <t>Mix thoroughly in fermentation vessel.</t>
      </text>
    </comment>
    <comment ref="B92" authorId="0" shapeId="0">
      <text>
        <t>Stir occasionally. Koji enzymes convert starch to sugar.</t>
      </text>
    </comment>
    <comment ref="B93" authorId="0" shapeId="0">
      <text>
        <t>Kasu (lees) can be used for cooking or pickling.</t>
      </text>
    </comment>
    <comment ref="B94" authorId="0" shapeId="0">
      <text>
        <t>Develops amber color and complexity.</t>
      </text>
    </comment>
    <comment ref="B102" authorId="0" shapeId="0">
      <text>
        <t>Final volume after fermentation.</t>
      </text>
    </comment>
    <comment ref="B103" authorId="0" shapeId="0">
      <text>
        <t>Minimum 3 years. 5+ = deep red, 8+ = near-black, intense umami.</t>
      </text>
    </comment>
    <comment ref="B104" authorId="0" shapeId="0">
      <text>
        <t>4.2% minimum for safety. Traditional 4.5-5.0%.</t>
      </text>
    </comment>
    <comment ref="B107" authorId="0" shapeId="0">
      <text>
        <t>Well-aged kasu. Color indicates flavor intensity.</t>
      </text>
    </comment>
    <comment ref="B108" authorId="0" shapeId="0">
      <text>
        <t>Dechlorinated. For extracting kasu.</t>
      </text>
    </comment>
    <comment ref="B109" authorId="0" shapeId="0">
      <text>
        <t>Unpasteurized vinegar with live Acetobacter (~20%).</t>
      </text>
    </comment>
    <comment ref="B112" authorId="0" shapeId="0">
      <text>
        <t>Submerge kasu in water, stir daily, filter.</t>
      </text>
    </comment>
    <comment ref="B113" authorId="0" shapeId="0">
      <text>
        <t>Acetobacter needs alcohol substrate.</t>
      </text>
    </comment>
    <comment ref="B114" authorId="0" shapeId="0">
      <text>
        <t>Unpasteurized vinegar contains live bacteria.</t>
      </text>
    </comment>
    <comment ref="B115" authorId="0" shapeId="0">
      <text>
        <t>Aerobic. Open vessel or airlock. Monitor acidity weekly.</t>
      </text>
    </comment>
    <comment ref="B116" authorId="0" shapeId="0">
      <text>
        <t>Develops complexity, mellows acidity.</t>
      </text>
    </comment>
    <comment ref="B124" authorId="0" shapeId="0">
      <text>
        <t>Approximate final volume including solids.</t>
      </text>
    </comment>
    <comment ref="B127" authorId="0" shapeId="0">
      <text>
        <t>Table rice OK. No polishing required.</t>
      </text>
    </comment>
    <comment ref="B128" authorId="0" shapeId="0">
      <text>
        <t>~25-30% of total rice as koji.</t>
      </text>
    </comment>
    <comment ref="B129" authorId="0" shapeId="0">
      <text>
        <t>Less than clear sake—thicker final product.</t>
      </text>
    </comment>
    <comment ref="B130" authorId="0" shapeId="0">
      <text>
        <t>Sake yeast preferred. Bread yeast works but different flavor.</t>
      </text>
    </comment>
    <comment ref="B133" authorId="0" shapeId="0">
      <text>
        <t>Standard sake rice preparation.</t>
      </text>
    </comment>
    <comment ref="B134" authorId="0" shapeId="0">
      <text>
        <t>Single-stage addition (not sandan-jikomi).</t>
      </text>
    </comment>
    <comment ref="B135" authorId="0" shapeId="0">
      <text>
        <t>Stir daily first 3 days, then leave alone.</t>
      </text>
    </comment>
    <comment ref="B136" authorId="0" shapeId="0">
      <text>
        <t>Shake before pouring. Refrigerate, consume within 1-2 weeks.</t>
      </text>
    </comment>
    <comment ref="B144" authorId="0" shapeId="0">
      <text>
        <t>Weight of items to pickle.</t>
      </text>
    </comment>
    <comment ref="B147" authorId="0" shapeId="0">
      <text>
        <t>Fresh kasu from pressing. Enough to fully surround items.</t>
      </text>
    </comment>
    <comment ref="B148" authorId="0" shapeId="0">
      <text>
        <t>Optional. Softens kasu, adds sweetness.</t>
      </text>
    </comment>
    <comment ref="B149" authorId="0" shapeId="0">
      <text>
        <t>For pre-salting vegetables. Draws moisture.</t>
      </text>
    </comment>
    <comment ref="B152" authorId="0" shapeId="0">
      <text>
        <t>Removes excess moisture. Skip for fish.</t>
      </text>
    </comment>
    <comment ref="B153" authorId="0" shapeId="0">
      <text>
        <t>Should be paste consistency.</t>
      </text>
    </comment>
    <comment ref="B154" authorId="0" shapeId="0">
      <text>
        <t>No air pockets. Items shouldn't touch.</t>
      </text>
    </comment>
    <comment ref="B155" authorId="0" shapeId="0">
      <text>
        <t>Quick pickle: 1-2 weeks. Narazuke: years with kasu changes.</t>
      </text>
    </comment>
    <comment ref="B163" authorId="0" shapeId="0">
      <text>
        <t>Final pressed liquid volume. Home batches typically 2-5 L.</t>
      </text>
    </comment>
    <comment ref="B164" authorId="0" shapeId="0">
      <text>
        <t>Traditional koikuchi = 1:1. Usukuchi = 1:1.2 (more wheat). Tamari = soy only.</t>
      </text>
    </comment>
    <comment ref="B165" authorId="0" shapeId="0">
      <text>
        <t>16-18% of total moromi weight. Higher = slower ferment, longer preservation.</t>
      </text>
    </comment>
    <comment ref="B168" authorId="0" shapeId="0">
      <text>
        <t>Whole soybeans. Will ~double when soaked.</t>
      </text>
    </comment>
    <comment ref="B169" authorId="0" shapeId="0">
      <text>
        <t>Whole wheat, roasted and cracked. Equal to soy for koikuchi.</t>
      </text>
    </comment>
    <comment ref="B170" authorId="0" shapeId="0">
      <text>
        <t>Aspergillus oryzae or sojae. ~0.1-0.2% of substrate.</t>
      </text>
    </comment>
    <comment ref="B171" authorId="0" shapeId="0">
      <text>
        <t>Sea salt. Dissolved in water to make brine.</t>
      </text>
    </comment>
    <comment ref="B172" authorId="0" shapeId="0">
      <text>
        <t>Enough to cover koji and create moromi mash.</t>
      </text>
    </comment>
    <comment ref="B175" authorId="0" shapeId="0">
      <text>
        <t>Dark, all-purpose. 80% of Japanese production.</t>
      </text>
    </comment>
    <comment ref="B176" authorId="0" shapeId="0">
      <text>
        <t>Light color, saltier. For delicate dishes.</t>
      </text>
    </comment>
    <comment ref="B177" authorId="0" shapeId="0">
      <text>
        <t>Rich, thick. Originally miso byproduct. Gluten-free.</t>
      </text>
    </comment>
    <comment ref="B178" authorId="0" shapeId="0">
      <text>
        <t>Very light, sweet. Short ferment.</t>
      </text>
    </comment>
    <comment ref="B179" authorId="0" shapeId="0">
      <text>
        <t>Double-brewed. Intense, complex.</t>
      </text>
    </comment>
    <comment ref="B182" authorId="0" shapeId="0">
      <text>
        <t>Until doubled, no hard center.</t>
      </text>
    </comment>
    <comment ref="B183" authorId="0" shapeId="0">
      <text>
        <t>Should mash easily between fingers.</t>
      </text>
    </comment>
    <comment ref="B184" authorId="0" shapeId="0">
      <text>
        <t>Develops flavor, aids koji penetration.</t>
      </text>
    </comment>
    <comment ref="B185" authorId="0" shapeId="0">
      <text>
        <t>Cool to ~30°C before inoculating.</t>
      </text>
    </comment>
    <comment ref="B186" authorId="0" shapeId="0">
      <text>
        <t>Stir every 8-12 hours. Green-yellow spores = ready.</t>
      </text>
    </comment>
    <comment ref="B187" authorId="0" shapeId="0">
      <text>
        <t>Submerge completely. Weight if needed.</t>
      </text>
    </comment>
    <comment ref="B188" authorId="0" shapeId="0">
      <text>
        <t>Stir weekly first month, then monthly. Summer heat accelerates.</t>
      </text>
    </comment>
    <comment ref="B189" authorId="0" shapeId="0">
      <text>
        <t>Raw shoyu. Sediment settles over days.</t>
      </text>
    </comment>
    <comment ref="B190" authorId="0" shapeId="0">
      <text>
        <t>Stops fermentation, clarifies. Nama-shoyu = unpasteurized.</t>
      </text>
    </comment>
    <comment ref="B198" authorId="0" shapeId="0">
      <text>
        <t>Final pressed liquid. Yield lower than koikuchi due to less wheat starch.</t>
      </text>
    </comment>
    <comment ref="B199" authorId="0" shapeId="0">
      <text>
        <t>Slightly lower than koikuchi. 15-17% typical.</t>
      </text>
    </comment>
    <comment ref="B202" authorId="0" shapeId="0">
      <text>
        <t>More soy needed since no wheat contribution.</t>
      </text>
    </comment>
    <comment ref="B203" authorId="0" shapeId="0">
      <text>
        <t>Use soy koji (A. sojae) or standard A. oryzae.</t>
      </text>
    </comment>
    <comment ref="B204" authorId="0" shapeId="0">
      <text>
        <t>Sea salt for brine.</t>
      </text>
    </comment>
    <comment ref="B205" authorId="0" shapeId="0">
      <text>
        <t>Less water than koikuchi—thicker moromi.</t>
      </text>
    </comment>
    <comment ref="B208" authorId="0" shapeId="0">
      <text>
        <t>Steam until very soft.</t>
      </text>
    </comment>
    <comment ref="B209" authorId="0" shapeId="0">
      <text>
        <t>Traditional method. Increases surface area for koji.</t>
      </text>
    </comment>
    <comment ref="B210" authorId="0" shapeId="0">
      <text>
        <t>May take longer without wheat.</t>
      </text>
    </comment>
    <comment ref="B211" authorId="0" shapeId="0">
      <text>
        <t>Longer than koikuchi. Develops deeper flavor.</t>
      </text>
    </comment>
    <comment ref="B212" authorId="0" shapeId="0">
      <text>
        <t>Some aged additional 6 mo after pressing.</t>
      </text>
    </comment>
  </commentList>
</comments>
</file>

<file path=xl/comments/comment6.xml><?xml version="1.0" encoding="utf-8"?>
<comments xmlns="http://schemas.openxmlformats.org/spreadsheetml/2006/main">
  <authors>
    <author>Toji</author>
  </authors>
  <commentList>
    <comment ref="B4" authorId="0" shapeId="0">
      <text>
        <t>Wash Water Temperature (洗米水温度)
Temperature of water for washing to remove nuka (bran lipids).
TIME NEEDED BY TEMPERATURE:
• 5-8°C: 10+ min for linoleic only
• 8-12°C: 5-8 min for linoleic + partial oleic  
• 12-15°C: 3-5 min for most unsaturated fats
• 15-18°C: 3-5 min for thorough extraction
• 18-25°C: 2-3 min fast extraction (low polish only)
KEY FAT MELTING POINTS:
• Linoleic: -5°C (always mobile)
• Oleic: 13°C (key threshold!)
• Palmitic: 63°C (never extracted in cold wash)
Above 13°C, oleic acid becomes mobile and extraction improves significantly. Use colder temps for high polish to maintain timing control despite reduced fat removal.</t>
      </text>
    </comment>
    <comment ref="B5" authorId="0" shapeId="0">
      <text>
        <t>Wash Time for Nuka Removal (洗米時間)
Time spent washing rice to remove nuka (bran powder containing fats).
FAT REMOVAL TIMING:
• 1-2 min: Surface nuka only
• 3-5 min: Good nuka removal for most rice
• 5-10 min: Thorough removal for low polish (≥80%)
BY POLISH RATIO:
• ≤50%: 1-2 min max (ultra-fragile, minimal handling)
• 60%: 2-3 min (very fragile)
• 70%: 3-5 min (standard)
• 80%: 5-7 min (can handle more)
• 90%: 7-10 min (robust, needs longer)
CRITICAL: Gentle motion only! Vigorous washing causes grain cracking. Rice absorbs water during washing, so this time counts toward total moisture uptake.</t>
      </text>
    </comment>
    <comment ref="B6" authorId="0" shapeId="0">
      <text>
        <t>Soak Water Temperature (浸漬水温度)
Temperature of water used for soaking.
• Cold water (8-12°C) essential for high polish
• Should match wash water temp
• Colder = longer soak time but more control
Absorption rate doubles with each 10°C increase.</t>
      </text>
    </comment>
    <comment ref="B7" authorId="0" shapeId="0">
      <text>
        <t>Actual Soak Time (実際の浸漬時間)
Record the actual time you soaked the rice.
• Compare to recommended soak time below
• High polish rice: seconds matter!
• Start timing when rice enters water
Use stopwatch for ≤60% polish rice.</t>
      </text>
    </comment>
    <comment ref="B8" authorId="0" shapeId="0">
      <text>
        <t>Rice Storage Temperature (米の保管温度)
Temperature at which rice has been stored before washing.
• Refrigerated: 5-10°C
• Room temp: 15-20°C
• Cold storage reduces cracking risk
Both wash AND soak water should be within 5°C of this temp.</t>
      </text>
    </comment>
    <comment ref="D9" authorId="0" shapeId="0">
      <text>
        <t>Cracking Risk Assessment
Checks the larger temperature differential between:
• Wash water vs rice storage
• Soak water vs rice storage
≤5°C: OK - minimal risk
6-10°C: Caution - some cracking possible
&gt;10°C: HIGH RISK - significant cracking expected
Highly polished rice is especially fragile.</t>
      </text>
    </comment>
    <comment ref="B15" authorId="0" shapeId="0">
      <text>
        <t>Soaking time calculated from polish ratio and target moisture. Formula accounts for absorption rate which accelerates exponentially with polish level. Cold water (5-15°C) slows absorption allowing precise control. Critical: over-soaking creates mushy rice that clumps during steaming.</t>
      </text>
    </comment>
    <comment ref="B19" authorId="0" shapeId="0">
      <text>
        <t>Karashi Rest Time (枯らし時間)
Resting period after draining, before steaming.
• Minimum: 45-60 minutes
• Extended: 2-4 hours (common)
• Overnight: 12-24 hours (some brewers)
Purpose: Allows water to diffuse from surface to grain center for even moisture distribution. Longer rest = more uniform steaming. Cover rice to prevent drying.</t>
      </text>
    </comment>
    <comment ref="D20" authorId="0" shapeId="0">
      <text>
        <t>Fat Extraction Estimate
Based on wash water temperature and lipid melting points:
LOW (&lt;10°C): Most fats remain bound
• Palmitic (63°C mp) - solid
• Oleic (13°C mp) - mostly solid
• Linoleic (-5°C mp) - liquid but bound
MODERATE (10-15°C): Partial extraction
• Oleic begins to mobilize above 13°C
• Better removal of unsaturated fats
GOOD (&gt;15°C): Effective extraction
• Oleic and linoleic readily removed
• Only palmitic remains bound
Higher fat removal = cleaner fermentation flavor, but requires more precise timing control due to faster water absorption.</t>
      </text>
    </comment>
  </commentList>
</comments>
</file>

<file path=xl/comments/comment7.xml><?xml version="1.0" encoding="utf-8"?>
<comments xmlns="http://schemas.openxmlformats.org/spreadsheetml/2006/main">
  <authors>
    <author>Toji</author>
    <author>Unknown Author</author>
  </authors>
  <commentList>
    <comment ref="B5" authorId="0" shapeId="0">
      <text>
        <t>Target yeast cell density (cells/mL). Standard range: 2-5 million cells/mL of moromi. Higher pitch (5M) = cleaner, quicker ferment with less amino acid production. Lower pitch (2M) = more complex flavor from amino acids but higher stuck ferment risk. Balance depends on style goals.</t>
      </text>
    </comment>
    <comment ref="B14" authorId="0" shapeId="0">
      <text>
        <t>Starter volume as percentage of moto weight. Typical range: 3-7% for liquid yeast starter. Too low = insufficient cells even at high density. Too high = dilutes moto changing its role in sandan-jikomi geometric progression. Consider moto weight when calculating pitch.</t>
      </text>
    </comment>
    <comment ref="B17" authorId="1" shapeId="0">
      <text>
        <t>Fermentation vigor multiplier from nitrogen profile.
Low-polish rice = more minerals = faster yeast growth.
&gt;1.0: Vigorous ferment expected
&lt;1.0: Slow ferment expected</t>
      </text>
    </comment>
    <comment ref="B18" authorId="1" shapeId="0">
      <text>
        <t>Pitch rate adjusted for nitrogen availability.
Low-polish (high vigor): reduce pitch to slow ferment
High-polish (low vigor): increase pitch for reliability</t>
      </text>
    </comment>
  </commentList>
</comments>
</file>

<file path=xl/comments/comment8.xml><?xml version="1.0" encoding="utf-8"?>
<comments xmlns="http://schemas.openxmlformats.org/spreadsheetml/2006/main">
  <authors>
    <author>Unknown Author</author>
  </authors>
  <commentList>
    <comment ref="B3" authorId="0" shapeId="0">
      <text>
        <t>Standard sake pasteurization reference. 60°C for 10 min = complete hiochi kill per 1970s NRIB research.</t>
      </text>
    </comment>
    <comment ref="B4" authorId="0" shapeId="0">
      <text>
        <t>Temperature sensitivity. Lactobacillus species typically z=5-10°C. 6.5 is reasonable estimate for hiochi bacteria.</t>
      </text>
    </comment>
    <comment ref="B5" authorId="0" shapeId="0">
      <text>
        <t>10 PU provides ~6 log reduction with safety margin. Minimum effective = 10 min at ref temp.</t>
      </text>
    </comment>
    <comment ref="B6" authorId="0" shapeId="0">
      <text>
        <t>Time between temperature readings. Shorter intervals = more accurate PU integration.</t>
      </text>
    </comment>
    <comment ref="B9" authorId="0" shapeId="0">
      <text>
        <t>Glucoamylase half-life ~30 min at 65°C per your research. Used for denaturation calc.</t>
      </text>
    </comment>
    <comment ref="B10" authorId="0" shapeId="0">
      <text>
        <t>95% denaturation ensures stability. 99%+ for maximum shelf stability.</t>
      </text>
    </comment>
    <comment ref="B39" authorId="0" shapeId="0">
      <text>
        <t>SAFE = target PU achieved. HOLD = continue heating or extend hold time.</t>
      </text>
    </comment>
    <comment ref="B41" authorId="0" shapeId="0">
      <text>
        <t>Lower = more denaturation = better stability. Target &lt;5% for shelf-stable sake.</t>
      </text>
    </comment>
    <comment ref="B50" authorId="0" shapeId="0">
      <text>
        <t>Temperature at which you measured cooling times. 30°C is reasonable endpoint.</t>
      </text>
    </comment>
    <comment ref="B52" authorId="0" shapeId="0">
      <text>
        <t>If sake cools SLOWER than reference, solids never reached equilibrium = under-pasteurized.</t>
      </text>
    </comment>
    <comment ref="B53" authorId="0" shapeId="0">
      <text>
        <t>Positive = sake cooled slower (risk). Zero or negative = sake cooled same/faster (safe).</t>
      </text>
    </comment>
    <comment ref="B60" authorId="0" shapeId="0">
      <text>
        <t>Per 1970s NRIB: 60°C for 10 min kills all hiochi bacteria including L. fructivorans.</t>
      </text>
    </comment>
    <comment ref="B61" authorId="0" shapeId="0">
      <text>
        <t>Competition sake standard. Minimizes ginjo-ka loss while ensuring safety.</t>
      </text>
    </comment>
    <comment ref="B62" authorId="0" shapeId="0">
      <text>
        <t>Risk of hi-ire smell, ginjo-ka loss (28-49% ester decline with prolonged heat).</t>
      </text>
    </comment>
  </commentList>
</comments>
</file>

<file path=xl/comments/comment9.xml><?xml version="1.0" encoding="utf-8"?>
<comments xmlns="http://schemas.openxmlformats.org/spreadsheetml/2006/main">
  <authors>
    <author>Unknown Author</author>
  </authors>
  <commentList>
    <comment ref="A5" authorId="0" shapeId="0">
      <text>
        <t>Mash mass = steamed kakemai (×1.30) + finished koji (×1.16 dekoji) + water. Accounts for weight gain during steaming and koji incubation.</t>
      </text>
    </comment>
    <comment ref="A7" authorId="0" shapeId="0">
      <text>
        <t>NRIB formula: polished_rice_kg × 1.80 L/kg × press_efficiency</t>
      </text>
    </comment>
    <comment ref="A8" authorId="0" shapeId="0">
      <text>
        <t>Genshu diluted from 18.2% to 15% ABV</t>
      </text>
    </comment>
    <comment ref="B33" authorId="0" shapeId="0">
      <text>
        <t>Amino acidity factor based on seimaibuai.
From Iemura 1996: amino acidity peaks at ~70-75%.
At 90%: 0.6 (high yeast uptake reduces amino)
At 70%: 1.0 (peak amino release)
At 50%: 0.75 (less protein available)
At 35%: 0.6 (very low protein core)</t>
      </text>
    </comment>
    <comment ref="B34" authorId="0" shapeId="0">
      <text>
        <t>Relative amino acid tendency (0-5 scale).
Higher = expect more amino acids in final sake.
&lt;1.5: Very low (daiginjo character)
1.5-2.0: Low (ginjo character)
2.0-2.5: Medium (junmai character)
2.5-3.0: High (robust junmai)
&gt;3.0: Very high (risk of zatsumi)</t>
      </text>
    </comment>
    <comment ref="B38" authorId="0" shapeId="0">
      <text>
        <t>Fermentation vigor multiplier based on seimaibuai.
Low polish = more minerals = faster yeast growth.
90%+: 1.5x (vigorous, fast ferment)
70%: 1.0x (standard)
50%: 0.7x (slow, extended ferment)</t>
      </text>
    </comment>
    <comment ref="G53" authorId="0" shapeId="0">
      <text>
        <t>Total nitrogen input from rice protein.
Calculation: (Protein% / 100) × Rice(kg) × 1000 = grams of nitrogen.
Protein % varies by polish ratio:
• 90% polish: ~7.5% protein (full table rice protein)
• 80% polish: ~6.4% protein (15% reduction)
• 70% polish: ~5.3% protein (30% reduction)
• 60% polish: ~4.1% protein (45% reduction)</t>
      </text>
    </comment>
    <comment ref="H53" authorId="0" shapeId="0">
      <text>
        <t>Yeast nitrogen uptake factor based on Iemura (1996) research.
Key finding: Higher polish = more minerals = more yeast = more N uptake.
90% polish rice produces LOWER amino acidity despite higher protein because:
• 2.5× yeast cell count vs 70% polish
• 1.5× nitrogen absorption
Uptake factors:
• 90% polish: 67% uptake
• 80% polish: 55% uptake
• 70% polish: 45% uptake
• &lt;70% polish: 35% uptake
Koji uses 30% (enzymes, not direct yeast food).</t>
      </text>
    </comment>
    <comment ref="I53" authorId="0" shapeId="0">
      <text>
        <t>Net nitrogen remaining in sake after yeast uptake.
Net N = N input × (1 - uptake factor)
Lower net N → Lower amino acidity → Cleaner, fruitier sake.
This is the Iemura paradox: rough rice makes cleaner sake.</t>
      </text>
    </comment>
    <comment ref="A63" authorId="0" shapeId="0">
      <text>
        <t>Simplified model based on Iemura et al. (1996):
1. Total protein input from all rice (koji + kakemai)
2. ~35% of protein dissolves into liquid (constant, per Iemura Fig.10)
3. Yeast uptake % based on weighted average polish ratio
4. Residual N = Dissolved - Absorbed → predicts amino acidity
Key insight: Polish ratio affects yeast POPULATION, which affects
total N absorption, NOT the dissolution rate of protein.</t>
      </text>
    </comment>
    <comment ref="A64" authorId="0" shapeId="0">
      <text>
        <t>Sum of all rice protein input from rows 54-59.</t>
      </text>
    </comment>
    <comment ref="A65" authorId="0" shapeId="0">
      <text>
        <t>Rice-weighted average polish ratio.
This determines the Iemura effect magnitude:
• Higher % (90) = more minerals = more yeast = more uptake
• Lower % (70) = fewer minerals = less yeast = less uptake</t>
      </text>
    </comment>
    <comment ref="A66" authorId="0" shapeId="0">
      <text>
        <t>Iemura found ~35% of rice protein dissolves into liquid mash,
REGARDLESS of polish ratio. Ethanol inhibits further dissolution.
Source: Iemura (1996) Fig.10 - dissolution rate 30-40%.</t>
      </text>
    </comment>
    <comment ref="A67" authorId="0" shapeId="0">
      <text>
        <t>Yeast uptake interpolated from Iemura data:
• 90% polish: 67% of dissolved N absorbed
• 80% polish: ~56% absorbed
• 70% polish: 45% absorbed (baseline)
Formula: 0.45 + (polish - 70) × 0.011</t>
      </text>
    </comment>
    <comment ref="A69" authorId="0" shapeId="0">
      <text>
        <t>Net nitrogen in sake = Dissolved - Absorbed.</t>
      </text>
    </comment>
    <comment ref="A71" authorId="0" shapeId="0">
      <text>
        <t>Amino acidity estimate.
Typical ranges:
• Daiginjo: 0.8-1.1
• Ginjo: 1.0-1.3
• Junmai: 1.3-1.8
• Kimoto: 1.5-2.2
NOTE: This is an ESTIMATE. Actual depends on yeast strain,
fermentation temp, koji type, and other factors.</t>
      </text>
    </comment>
  </commentList>
</comments>
</file>

<file path=xl/comments/comment10.xml><?xml version="1.0" encoding="utf-8"?>
<comments xmlns="http://schemas.openxmlformats.org/spreadsheetml/2006/main">
  <authors>
    <author>Unknown Author</author>
  </authors>
  <commentList>
    <comment ref="B26" authorId="0" shapeId="0">
      <text>
        <t>Estimated crude protein based on seimaibuai.
90%+ = ~7.5% (outer endosperm exposed)
70-90% = ~5.5%
50-70% = ~4%
&lt;50% = ~3.5% (central region only)</t>
      </text>
    </comment>
    <comment ref="B27" authorId="0" shapeId="0">
      <text>
        <t>Glutelin/Total Protein ratio for variety.
Higher = more digestible protein → more amino acids in sake.
Default 0.41 (NRIB average) if variety unknown.</t>
      </text>
    </comment>
  </commentList>
</comments>
</file>

<file path=xl/comments/comment11.xml><?xml version="1.0" encoding="utf-8"?>
<comments xmlns="http://schemas.openxmlformats.org/spreadsheetml/2006/main">
  <authors>
    <author>Unknown Author</author>
  </authors>
  <commentList>
    <comment ref="A4" authorId="0" shapeId="0">
      <text>
        <t>Official NRIB baseline: 80 steamed : 20 koji : 130 water. Standard sandan shikomi 1:0:2:3.</t>
      </text>
    </comment>
    <comment ref="A5" authorId="0" shapeId="0">
      <text>
        <t>Pure rice sake, no alcohol addition. 60-70% polish typical. Fuller body, higher acidity.</t>
      </text>
    </comment>
    <comment ref="A6" authorId="0" shapeId="0">
      <text>
        <t>≤60% polish. 10-15°C ferment, 4-5 weeks. Tsukihaze koji. Alcohol addition ≤10% rice wt allowed.</t>
      </text>
    </comment>
    <comment ref="A7" authorId="0" shapeId="0">
      <text>
        <t>≤60% polish. Same as Ginjo but NO alcohol addition. 10-15°C ferment, 4-5 weeks.</t>
      </text>
    </comment>
    <comment ref="A8" authorId="0" shapeId="0">
      <text>
        <t>≤50% polish. 8-12°C ferment, 5-6 weeks. Ultra-premium. Alcohol addition ≤10% allowed.</t>
      </text>
    </comment>
    <comment ref="A9" authorId="0" shapeId="0">
      <text>
        <t>≤50% polish. Same as Daiginjo but NO alcohol addition. 8-12°C ferment, 5-6 weeks.</t>
      </text>
    </comment>
    <comment ref="A10" authorId="0" shapeId="0">
      <text>
        <t>≤70% polish. Alcohol addition ≤10% rice weight. Clean, light style.</t>
      </text>
    </comment>
    <comment ref="A11" authorId="0" shapeId="0">
      <text>
        <t>Verified against Lucas calculator at 200kg scale. 12 parameter errors corrected.</t>
      </text>
    </comment>
    <comment ref="A12" authorId="0" shapeId="0">
      <text>
        <t>Verified against Lucas calculator. 8 parameter errors corrected.</t>
      </text>
    </comment>
    <comment ref="A13" authorId="0" shapeId="0">
      <text>
        <t>Verified against Lucas calculator. 1 parameter error corrected (water ratio).</t>
      </text>
    </comment>
    <comment ref="A14" authorId="0" shapeId="0">
      <text>
        <t>Modern method. 2 weeks moto. Commercial lactic acid added. 90% of current sake production.</t>
      </text>
    </comment>
    <comment ref="A15" authorId="0" shapeId="0">
      <text>
        <t>Traditional. 4 weeks moto. 6-8°C start. Yama-oroshi pole grinding. Natural lactic bacteria.</t>
      </text>
    </comment>
    <comment ref="A16" authorId="0" shapeId="0">
      <text>
        <t>Traditional. 4 weeks moto. No yama-oroshi. Higher temp than kimoto. Natural lactic bacteria.</t>
      </text>
    </comment>
    <comment ref="A17" authorId="0" shapeId="0">
      <text>
        <t>Cloudy sake. Standard brewing params. Coarse filtration ≥2mm mesh retains rice particles/yeast.</t>
      </text>
    </comment>
    <comment ref="A18" authorId="0" shapeId="0">
      <text>
        <t>Undiluted sake. No post-fermentation water addition. Natural ABV 17-22%. Richer flavor.</t>
      </text>
    </comment>
    <comment ref="A19" authorId="0" shapeId="0">
      <text>
        <t>Unpasteurized sake. Standard brewing. Must keep refrigerated. Fresh, lively character.</t>
      </text>
    </comment>
    <comment ref="A20" authorId="0" shapeId="0">
      <text>
        <t>Bubbly sake. Standard base. CO2 via injection, bottle secondary fermentation, or capture.</t>
      </text>
    </comment>
    <comment ref="A21" authorId="0" shapeId="0">
      <text>
        <t>Low water ratio (1.10 L/kg). Fuller body, richer flavor, higher viscosity, more umami.</t>
      </text>
    </comment>
    <comment ref="A22" authorId="0" shapeId="0">
      <text>
        <t>High water ratio (1.50 L/kg). Lighter body, cleaner flavor, slower fermentation, more delicate.</t>
      </text>
    </comment>
    <comment ref="A23" authorId="0" shapeId="0">
      <text>
        <t>Single-stage addition. All ingredients at once. 20% koji. High water (1.50) for safety margin.</t>
      </text>
    </comment>
    <comment ref="A24" authorId="0" shapeId="0">
      <text>
        <t>Single-stage addition. 25% koji for more flavor. Middle ground between 20% and 33%.</t>
      </text>
    </comment>
    <comment ref="A25" authorId="0" shapeId="0">
      <text>
        <t>Single-stage addition. High 33% koji for rich umami. Higher water to manage sweetness.</t>
      </text>
    </comment>
    <comment ref="A26" authorId="0" shapeId="0">
      <text>
        <t>Sake-brewed sake. Water 70 + Sake 60 per 100 rice. Sake substitutes ~46% of tome water. Sweet, aged.</t>
      </text>
    </comment>
    <comment ref="A27" authorId="0" shapeId="0">
      <text>
        <t>5-8% ABV. Achieved via dilution, early fermentation stop, or special yeasts. Higher water ratio.</t>
      </text>
    </comment>
    <comment ref="A28" authorId="0" shapeId="0">
      <text>
        <t>Farmer's sake. Single-stage ichidan jikomi. Completely unfiltered, unpressed. 6-8% ABV. Thick/cloudy.</t>
      </text>
    </comment>
    <comment ref="A29" authorId="0" shapeId="0">
      <text>
        <t>High-temp saccharification moto. 55-60°C for 6-8hr, then cool to 20°C. Nakao Brewery method (1947).</t>
      </text>
    </comment>
    <comment ref="A30" authorId="0" shapeId="0">
      <text>
        <t>14th century method. 10d soyashimizu (raw rice) + 14d moto. 40% raw rice. Stage allocation uncertain.</t>
      </text>
    </comment>
    <comment ref="A31" authorId="0" shapeId="0">
      <text>
        <t>1996 Nara revival. 6d soyashimizu (raw rice only, no boiled) + modern sandan shikomi. 40% raw rice.</t>
      </text>
    </comment>
    <comment ref="A32" authorId="0" shapeId="0">
      <text>
        <t>600+ year method. 10d soyashimizu + 2mo shubomoromi + 1mo moromi. Wild yeast. High acidity (2.0-3.5).</t>
      </text>
    </comment>
    <comment ref="A33" authorId="0" shapeId="0">
      <text>
        <t>Aomori Prefecture style. Abundant soft water, slightly higher ratio. Cool climate, fruity aromatics.</t>
      </text>
    </comment>
    <comment ref="A34" authorId="0" shapeId="0">
      <text>
        <t>Special designation. Standard parameters + soft water adjustment. No specific brewery documentation.</t>
      </text>
    </comment>
    <comment ref="A35" authorId="0" shapeId="0">
      <text>
        <t>Tamba toji guild tradition (Hyogo). Standard yamahai parameters. Regional craft expertise.</t>
      </text>
    </comment>
    <comment ref="A36" authorId="0" shapeId="0">
      <text>
        <t>Very high koji (40%). Extremely sweet/rich. No commercial examples found. Higher water to manage sugar.</t>
      </text>
    </comment>
    <comment ref="A37" authorId="0" shapeId="0">
      <text>
        <t>100% koji rice (no kakemai). Nanbu Bijin commercial example. Extremely sweet/thick/amber. Very labor-intensive.</t>
      </text>
    </comment>
    <comment ref="A38" authorId="0" shapeId="0">
      <text>
        <t>Historical 1878 brewing record. Needs conversion from volume percentages to modern weight ratios.</t>
      </text>
    </comment>
    <comment ref="A39" authorId="0" shapeId="0">
      <text>
        <t>Historical 1878 brewing record. Simpler/older method. Needs conversion verification.</t>
      </text>
    </comment>
    <comment ref="A40" authorId="0" shapeId="0">
      <text>
        <t>Historical 1878 Hachioji brewery record. Needs conversion from volume to weight ratios.</t>
      </text>
    </comment>
  </commentList>
</comments>
</file>

<file path=xl/comments/comment12.xml><?xml version="1.0" encoding="utf-8"?>
<comments xmlns="http://schemas.openxmlformats.org/spreadsheetml/2006/main">
  <authors>
    <author>Unknown Author</author>
  </authors>
  <commentList>
    <comment ref="B5" authorId="0" shapeId="0">
      <text>
        <t>Default tank volume in L. Adjust to your actual vessel size.
Used for headspace calculations.</t>
      </text>
    </comment>
    <comment ref="A16" authorId="0" shapeId="0">
      <text>
        <t>Finished koji weighs 14-17% more than dry rice input due to retained moisture from incubation. This affects moromi volume calculations.</t>
      </text>
    </comment>
  </commentList>
</comments>
</file>

<file path=xl/comments/comment13.xml><?xml version="1.0" encoding="utf-8"?>
<comments xmlns="http://schemas.openxmlformats.org/spreadsheetml/2006/main">
  <authors>
    <author>Unknown Author</author>
  </authors>
  <commentList>
    <comment ref="P1" authorId="0" shapeId="0">
      <text>
        <t>Rice variety protein profiles from NRIB 2024 Takahashi study.
G/TP = Glutelin/Total Protein (digestible)
P/TP = Prolamin/Total Protein (locked)
G/P = ratio determining amino acid release
Higher G/TP = more amino acids released to sake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457200</colOff>
      <row>5</row>
      <rowOff>57150</rowOff>
    </from>
    <ext cx="952500" cy="9525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0</colOff>
      <row>26</row>
      <rowOff>0</rowOff>
    </from>
    <to>
      <col>6</col>
      <colOff>199800</colOff>
      <row>36</row>
      <rowOff>169200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C111"/>
  <sheetViews>
    <sheetView zoomScale="120" workbookViewId="0">
      <selection activeCell="A1" sqref="A1"/>
    </sheetView>
  </sheetViews>
  <sheetFormatPr baseColWidth="8" defaultRowHeight="15"/>
  <cols>
    <col width="28" customWidth="1" min="1" max="1"/>
    <col width="45" customWidth="1" min="2" max="2"/>
    <col width="50" customWidth="1" min="3" max="3"/>
  </cols>
  <sheetData>
    <row r="1" ht="30" customHeight="1">
      <c r="A1" s="274" t="inlineStr">
        <is>
          <t>ACIDHOUSE FERMENTATION: CALCULATOR FOR KOJI</t>
        </is>
      </c>
    </row>
    <row r="2">
      <c r="A2" s="275" t="inlineStr">
        <is>
          <t>Traditional calculations for sake, miso, amazake, shio koji, mirin, vinegar, and other koji-based ferments</t>
        </is>
      </c>
    </row>
    <row r="3">
      <c r="A3" s="276" t="inlineStr">
        <is>
          <t>Version 413</t>
        </is>
      </c>
    </row>
    <row r="5">
      <c r="A5" s="277" t="inlineStr">
        <is>
          <t>SUPPORT THE COMMUNITY</t>
        </is>
      </c>
    </row>
    <row r="6" ht="28" customHeight="1">
      <c r="B6" s="278" t="inlineStr">
        <is>
          <t>The Sake Brewers Guild shares fermentation knowledge freely. If you find this calculator useful, please consider supporting their work. They offer free seminars, a Discord community, and translated resources for 5,000+ brewers worldwide.</t>
        </is>
      </c>
      <c r="C6" s="279" t="inlineStr">
        <is>
          <t>Please Donate</t>
        </is>
      </c>
    </row>
    <row r="7" ht="28" customHeight="1"/>
    <row r="8" ht="28" customHeight="1"/>
    <row r="9">
      <c r="A9" s="277" t="inlineStr">
        <is>
          <t>QUICK START</t>
        </is>
      </c>
    </row>
    <row r="11">
      <c r="A11" s="280" t="inlineStr">
        <is>
          <t>1. Go to Recipe sheet → Enter total rice (kg) in B4</t>
        </is>
      </c>
    </row>
    <row r="12">
      <c r="A12" s="280" t="inlineStr">
        <is>
          <t>2. Select a Recipe preset from B5 dropdown (or customize)</t>
        </is>
      </c>
    </row>
    <row r="13">
      <c r="A13" s="280" t="inlineStr">
        <is>
          <t>3. Select rice variety and polish ratio for each lot</t>
        </is>
      </c>
    </row>
    <row r="14">
      <c r="A14" s="280" t="inlineStr">
        <is>
          <t>4. View calculated totals: rice, koji, water, mash volume</t>
        </is>
      </c>
    </row>
    <row r="15">
      <c r="A15" s="280" t="inlineStr">
        <is>
          <t>5. Use Plan sheet for detailed stage breakdowns</t>
        </is>
      </c>
    </row>
    <row r="16">
      <c r="A16" s="280" t="inlineStr">
        <is>
          <t>6. Use Quick Calc for standalone calculations</t>
        </is>
      </c>
    </row>
    <row r="17">
      <c r="A17" s="280" t="inlineStr">
        <is>
          <t>7. Use Koji Ferments for miso, amazake, mirin, shoyu, etc.</t>
        </is>
      </c>
    </row>
    <row r="18">
      <c r="A18" s="280" t="inlineStr">
        <is>
          <t>8. All blue cells are inputs; gray cells are calculated</t>
        </is>
      </c>
    </row>
    <row r="20">
      <c r="A20" s="277" t="inlineStr">
        <is>
          <t>VISUAL KEY</t>
        </is>
      </c>
    </row>
    <row r="22">
      <c r="A22" s="281" t="inlineStr">
        <is>
          <t>Light blue</t>
        </is>
      </c>
      <c r="B22" s="282" t="inlineStr">
        <is>
          <t>Select ▽</t>
        </is>
      </c>
      <c r="C22" s="280" t="inlineStr">
        <is>
          <t>User input — dropdown or free entry</t>
        </is>
      </c>
    </row>
    <row r="23">
      <c r="A23" s="281" t="inlineStr">
        <is>
          <t>Light green</t>
        </is>
      </c>
      <c r="B23" s="283" t="inlineStr">
        <is>
          <t>Sample</t>
        </is>
      </c>
      <c r="C23" s="280" t="inlineStr">
        <is>
          <t>User input — free entry, numeric</t>
        </is>
      </c>
    </row>
    <row r="24">
      <c r="A24" s="281" t="inlineStr">
        <is>
          <t>Light gray</t>
        </is>
      </c>
      <c r="B24" s="284" t="inlineStr">
        <is>
          <t>Sample</t>
        </is>
      </c>
      <c r="C24" s="280" t="inlineStr">
        <is>
          <t>Calculated value — do not edit</t>
        </is>
      </c>
    </row>
    <row r="25">
      <c r="A25" s="281" t="inlineStr">
        <is>
          <t>White</t>
        </is>
      </c>
      <c r="B25" s="285" t="inlineStr">
        <is>
          <t>Sample</t>
        </is>
      </c>
      <c r="C25" s="280" t="inlineStr">
        <is>
          <t>Label or static text</t>
        </is>
      </c>
    </row>
    <row r="26">
      <c r="A26" s="281" t="inlineStr">
        <is>
          <t>Red triangle</t>
        </is>
      </c>
      <c r="B26" s="286" t="inlineStr">
        <is>
          <t>Hover here</t>
        </is>
      </c>
      <c r="C26" s="280" t="inlineStr">
        <is>
          <t>Hover over cell B26 to see example — Toji notes explain brewing logic</t>
        </is>
      </c>
    </row>
    <row r="27">
      <c r="A27" s="281" t="inlineStr">
        <is>
          <t>Japanese terms</t>
        </is>
      </c>
      <c r="B27" s="286" t="inlineStr">
        <is>
          <t>漢字 (かな)</t>
        </is>
      </c>
      <c r="C27" s="280" t="inlineStr">
        <is>
          <t>Kanji with hiragana/katakana reading to aid pronunciation and learning</t>
        </is>
      </c>
    </row>
    <row r="28">
      <c r="A28" s="281" t="n"/>
      <c r="B28" s="286" t="n"/>
      <c r="C28" s="280" t="n"/>
    </row>
    <row r="30">
      <c r="A30" s="287" t="inlineStr">
        <is>
          <t>PHILOSOPHY</t>
        </is>
      </c>
    </row>
    <row r="31"/>
    <row r="32" ht="70" customHeight="1">
      <c r="A32" s="288" t="inlineStr">
        <is>
          <t>Sake brewing developed significantly within Buddhist temples in Japan. By the 15th century, soboshu (僧坊酒)—monk sake—from institutions like Shoryakuji Temple in Nara had become renowned. The Tamon-in Nikki (多聞院日記), diaries kept by monks at Kofukuji Temple from 1478 to 1618, document brewing techniques still studied today. These monks developed bodaimoto, using naturally cultivated lactic acid bacteria to protect fermentation—centuries before the underlying microbiology was understood.</t>
        </is>
      </c>
    </row>
    <row r="33"/>
    <row r="34" ht="95" customHeight="1">
      <c r="A34" s="288" t="inlineStr">
        <is>
          <t>Shinto tradition regards rice as sacred. Inari Ōkami (稲荷大神), one of the most widely venerated kami, presides over rice, fertility, and agriculture. Over 30,000 Inari shrines across Japan reflect this relationship with rice cultivation. Sake offered at shrines (omiki/御神酒) connects brewing to religious practice. Some breweries maintain these connections—Terada Honke draws water from a shrine forest spring.</t>
        </is>
      </c>
    </row>
    <row r="35"/>
    <row r="36" ht="95" customHeight="1">
      <c r="A36" s="288" t="inlineStr">
        <is>
          <t>The concept of Hakkodo (発酵道)—the Way of Fermentation—frames brewing as a practice requiring attention and responsiveness. Keisuke Terada, 23rd-generation owner of Terada Honke, describes fermentation as requiring constant adjustment to changing conditions. This aligns with Buddhist teachings on impermanence (mujō/無常): the brewer observes and responds rather than imposing fixed expectations.</t>
        </is>
      </c>
    </row>
    <row r="37"/>
    <row r="38" ht="95" customHeight="1">
      <c r="A38" s="288" t="inlineStr">
        <is>
          <t>Traditional toji develop skills through observation—recognizing the chestnut aroma of healthy koji, the texture change as hyphae develop, the temperature rise in an active moto. The saying 'ichi-koji, ni-moto, san-tsukuri' (first koji, second starter, third brewing) reflects the importance of foundational steps. These observational skills remain valuable even as scientific instruments provide additional data.</t>
        </is>
      </c>
    </row>
    <row r="39"/>
    <row r="40" ht="85" customHeight="1">
      <c r="A40" s="288" t="inlineStr">
        <is>
          <t>Modern research from NRIB (酒類総合研究所), the Brewing Society of Japan, and academic journals documents the biochemistry behind traditional methods. Understanding enzyme kinetics, microbial ecology, and fermentation chemistry explains why certain practices work. Many brewers find that scientific knowledge and traditional observation complement each other.</t>
        </is>
      </c>
    </row>
    <row r="41"/>
    <row r="42" ht="85" customHeight="1">
      <c r="A42" s="288" t="inlineStr">
        <is>
          <t>Brewing knowledge has been transmitted through apprenticeship, guild systems, and written records for centuries. The techniques documented here—kimoto, bodaimoto, sandan-jikomi, various koji cultivation methods—represent accumulated practical knowledge. This calculator aims to make some of that knowledge accessible in a structured format.</t>
        </is>
      </c>
    </row>
    <row r="43"/>
    <row r="44" ht="85" customHeight="1">
      <c r="A44" s="288" t="inlineStr">
        <is>
          <t>Similar fermentation principles appear across cultures. The same Lactobacillus species that culture Japanese nukazuke also preserve Korean kimchi. Saccharomyces cerevisiae produces both sake and wine. Aspergillus molds are used throughout East Asian food production. Fermentation knowledge crosses boundaries.</t>
        </is>
      </c>
    </row>
    <row r="45"/>
    <row r="46">
      <c r="A46" s="277" t="inlineStr">
        <is>
          <t>ABOUT ACIDHOUSE</t>
        </is>
      </c>
    </row>
    <row r="48" ht="55" customHeight="1">
      <c r="A48" s="288" t="inlineStr">
        <is>
          <t>Acidhouse Fermentation is a food company. We aim to make sake, vinegar, mirin, miso, shio koji, and other koji-based foods—transforming simple ingredients into something profound. Our real work is knowledge sharing: demonstrating how koji-based fermentation can address food waste, improve plant protein digestibility, reduce sodium in processed foods, and enable decentralized, low-energy food production.</t>
        </is>
      </c>
    </row>
    <row r="50">
      <c r="A50" s="277" t="inlineStr">
        <is>
          <t>WHY FERMENTATION MATTERS NOW</t>
        </is>
      </c>
    </row>
    <row r="52">
      <c r="A52" s="289" t="inlineStr">
        <is>
          <t>THE MODERN HEALTH CRISIS</t>
        </is>
      </c>
    </row>
    <row r="53">
      <c r="A53" s="280" t="inlineStr">
        <is>
          <t>US obesity rate: 41.9% of adults (CDC, 2024) — tripled since 1960</t>
        </is>
      </c>
    </row>
    <row r="54">
      <c r="A54" s="280" t="inlineStr">
        <is>
          <t>Childhood obesity: 19.7% of children ages 2-19</t>
        </is>
      </c>
    </row>
    <row r="55">
      <c r="A55" s="280" t="inlineStr">
        <is>
          <t>Screen time average: 7+ hours/day for US adults; linked to gut dysbiosis</t>
        </is>
      </c>
    </row>
    <row r="56">
      <c r="A56" s="280" t="inlineStr">
        <is>
          <t>Ultra-processed foods: 60%+ of US calories; associated with inflammation</t>
        </is>
      </c>
    </row>
    <row r="57">
      <c r="A57" s="280" t="inlineStr">
        <is>
          <t>Gut diversity decline: Western diets show 30-40% less microbial diversity</t>
        </is>
      </c>
    </row>
    <row r="59">
      <c r="A59" s="289" t="inlineStr">
        <is>
          <t>HOW FERMENTED FOODS HELP</t>
        </is>
      </c>
    </row>
    <row r="60">
      <c r="A60" s="280" t="inlineStr">
        <is>
          <t>Increase microbial diversity (high-fermented-food diets boost gut diversity)</t>
        </is>
      </c>
    </row>
    <row r="61">
      <c r="A61" s="280" t="inlineStr">
        <is>
          <t>Reduce inflammation (decrease IL-6, TNF-α markers)</t>
        </is>
      </c>
    </row>
    <row r="62">
      <c r="A62" s="280" t="inlineStr">
        <is>
          <t>Support gut-brain axis (SCFAs influence mood/stress)</t>
        </is>
      </c>
    </row>
    <row r="63">
      <c r="A63" s="280" t="inlineStr">
        <is>
          <t>Counter obesity (kimchi studies show reduced body fat)</t>
        </is>
      </c>
    </row>
    <row r="64">
      <c r="A64" s="280" t="inlineStr">
        <is>
          <t>Improve mental health (psychobiotic diet reduces perceived stress)</t>
        </is>
      </c>
    </row>
    <row r="65">
      <c r="A65" s="280" t="inlineStr">
        <is>
          <t>Enhance nutrient absorption (reduce phytic acid, increase bioavailable minerals)</t>
        </is>
      </c>
    </row>
    <row r="67">
      <c r="A67" s="289" t="inlineStr">
        <is>
          <t>WHY KOJI SPECIFICALLY</t>
        </is>
      </c>
    </row>
    <row r="68">
      <c r="A68" s="280" t="inlineStr">
        <is>
          <t>Food waste valorization (transforms okara, spent grain, fruit pulp)</t>
        </is>
      </c>
    </row>
    <row r="69">
      <c r="A69" s="280" t="inlineStr">
        <is>
          <t>Plant protein improvement (increases digestibility, breaks down antinutrients)</t>
        </is>
      </c>
    </row>
    <row r="70">
      <c r="A70" s="280" t="inlineStr">
        <is>
          <t>Sodium reduction (umami allows 30-50% less salt)</t>
        </is>
      </c>
    </row>
    <row r="71">
      <c r="A71" s="280" t="inlineStr">
        <is>
          <t>Ambient processing (room-temperature vs. energy-intensive)</t>
        </is>
      </c>
    </row>
    <row r="72">
      <c r="A72" s="280" t="inlineStr">
        <is>
          <t>Decentralized production (simple technology, local food systems)</t>
        </is>
      </c>
    </row>
    <row r="73">
      <c r="A73" s="280" t="inlineStr">
        <is>
          <t>Carbon footprint (lower energy, transport, refrigeration)</t>
        </is>
      </c>
    </row>
    <row r="75">
      <c r="A75" s="277" t="inlineStr">
        <is>
          <t>RESEARCH &amp; FURTHER READING</t>
        </is>
      </c>
    </row>
    <row r="77">
      <c r="A77" s="289" t="inlineStr">
        <is>
          <t>GUT HEALTH &amp; FERMENTED FOODS</t>
        </is>
      </c>
    </row>
    <row r="78">
      <c r="A78" s="281" t="inlineStr">
        <is>
          <t>Cell Metabolism (2024)</t>
        </is>
      </c>
      <c r="B78" s="280" t="inlineStr">
        <is>
          <t>cell.com/cell-metabolism/fulltext/S1550-4131(24)00086-X</t>
        </is>
      </c>
    </row>
    <row r="79">
      <c r="A79" s="281" t="inlineStr">
        <is>
          <t>Microbial Biotechnology (2024)</t>
        </is>
      </c>
      <c r="B79" s="280" t="inlineStr">
        <is>
          <t>doi.org/10.1111/1751-7915.14428</t>
        </is>
      </c>
    </row>
    <row r="80">
      <c r="A80" s="281" t="inlineStr">
        <is>
          <t>Nutrients (2022)</t>
        </is>
      </c>
      <c r="B80" s="280" t="inlineStr">
        <is>
          <t>mdpi.com/2072-6643/14/7/1527</t>
        </is>
      </c>
    </row>
    <row r="81">
      <c r="A81" s="281" t="inlineStr">
        <is>
          <t>Nature Communications (2025)</t>
        </is>
      </c>
      <c r="B81" s="280" t="inlineStr">
        <is>
          <t>nature.com/articles/s41467-025-56014-6</t>
        </is>
      </c>
    </row>
    <row r="83">
      <c r="A83" s="289" t="inlineStr">
        <is>
          <t>SCREEN TIME &amp; GUT-BRAIN AXIS</t>
        </is>
      </c>
    </row>
    <row r="84">
      <c r="A84" s="281" t="inlineStr">
        <is>
          <t>Scientific Reports (2022)</t>
        </is>
      </c>
      <c r="B84" s="280" t="inlineStr">
        <is>
          <t>nature.com/articles/s41598-022-07381-3</t>
        </is>
      </c>
    </row>
    <row r="85">
      <c r="A85" s="281" t="inlineStr">
        <is>
          <t>PMC (2024)</t>
        </is>
      </c>
      <c r="B85" s="280" t="inlineStr">
        <is>
          <t>pmc.ncbi.nlm.nih.gov/articles/PMC10995916/</t>
        </is>
      </c>
    </row>
    <row r="86">
      <c r="A86" s="281" t="inlineStr">
        <is>
          <t>Frontiers Neuroscience (2021)</t>
        </is>
      </c>
      <c r="B86" s="280" t="inlineStr">
        <is>
          <t>frontiersin.org/articles/10.3389/fnins.2021.725500</t>
        </is>
      </c>
    </row>
    <row r="88">
      <c r="A88" s="277" t="inlineStr">
        <is>
          <t>ACKNOWLEDGMENTS</t>
        </is>
      </c>
    </row>
    <row r="90">
      <c r="A90" s="289" t="inlineStr">
        <is>
          <t>PRIMARY INSPIRATIONS</t>
        </is>
      </c>
    </row>
    <row r="91" ht="30" customHeight="1">
      <c r="A91" s="288" t="inlineStr">
        <is>
          <t>Lucas Smolic (Sake Recipe Calculator, Sake Brewers Guild), Dr. Morikuni Ueda (J. Brew. Soc. Japan 115(2), 2020)</t>
        </is>
      </c>
    </row>
    <row r="93">
      <c r="A93" s="289" t="inlineStr">
        <is>
          <t>HISTORICAL DOCUMENTS</t>
        </is>
      </c>
    </row>
    <row r="94" ht="30" customHeight="1">
      <c r="A94" s="288" t="inlineStr">
        <is>
          <t>Korschelt (1878), Atkinson (1881), Tamon-in Nikki (多聞院日記), Goshu no Nikki (御酒之日記)</t>
        </is>
      </c>
    </row>
    <row r="96">
      <c r="A96" s="289" t="inlineStr">
        <is>
          <t>RESEARCH INSTITUTIONS</t>
        </is>
      </c>
    </row>
    <row r="97" ht="30" customHeight="1">
      <c r="A97" s="288" t="inlineStr">
        <is>
          <t>NRIB (酒類総合研究所), Brewing Society of Japan, Tokyo University of Agriculture</t>
        </is>
      </c>
    </row>
    <row r="99">
      <c r="A99" s="287" t="inlineStr">
        <is>
          <t>TERMS &amp; LICENSE</t>
        </is>
      </c>
    </row>
    <row r="100"/>
    <row r="101" ht="70" customHeight="1">
      <c r="A101" s="288" t="inlineStr">
        <is>
          <t>This calculator is provided as-is, without warranty of any kind. Calculations are based on published research and traditional brewing ratios, but outcomes depend on variables beyond any calculator's control: ingredient quality, environmental conditions, technique, and microbial behavior. Verify critical values independently. The author accepts no liability for brewing failures, food safety issues, spoilage, illness, or any damages arising from use of this tool. You are responsible for your own fermentation.</t>
        </is>
      </c>
    </row>
    <row r="102"/>
    <row r="103" ht="55" customHeight="1">
      <c r="A103" s="288" t="inlineStr">
        <is>
          <t>This work is free to use, copy, modify, and distribute. No attribution required, though appreciated. Commercial use permitted. Derivative works encouraged. There is no proprietary claim on brewing knowledge that belongs to centuries of tradition. Take what is useful, improve it, share it forward.</t>
        </is>
      </c>
    </row>
    <row r="104"/>
    <row r="105" ht="50" customHeight="1">
      <c r="A105" s="288" t="inlineStr">
        <is>
          <t>By using this calculator, you agree to freely share fermentation knowledge, to teach others what you learn, to favor cooperation over competition, and to use these methods in ways that benefit your community and the environment. Fermentation has always been open-source. Keep it that way.</t>
        </is>
      </c>
    </row>
    <row r="106"/>
    <row r="107" ht="85" customHeight="1">
      <c r="A107" s="288" t="inlineStr">
        <is>
          <t>Legal Notice: Alcohol production is regulated differently in every jurisdiction. Some locations prohibit home production of alcoholic beverages entirely; others permit it for personal use within limits. In the United States, home brewing of beer and wine is federally legal up to 200 gallons per household per year, but distillation is prohibited. Sake occupies a gray area—classified as wine for tax purposes but brewed like beer. This calculator is provided for educational purposes. You are responsible for knowing and complying with the laws in your area. Nothing in this tool constitutes legal advice.</t>
        </is>
      </c>
    </row>
    <row r="108"/>
    <row r="109" ht="55" customHeight="1">
      <c r="A109" s="288" t="inlineStr">
        <is>
          <t>Health Warning: Alcohol consumption carries serious health risks. Excessive drinking can cause liver disease, heart problems, neurological damage, and death. Alcohol is addictive. Pregnant individuals should not consume alcohol. Never drink and drive. If you choose to drink, do so responsibly and in moderation.</t>
        </is>
      </c>
    </row>
    <row r="110"/>
    <row r="111" ht="55" customHeight="1">
      <c r="A111" s="288" t="inlineStr">
        <is>
          <t>If You Need Help: Addiction is a medical condition, not a moral failure. If you or someone you know is struggling with alcohol dependency, support is available. In the US: SAMHSA National Helpline 1-800-662-4357 (free, confidential, 24/7). Alcoholics Anonymous: aa.org. International: contact your local health services or search for addiction support in your area. Recovery is possible.</t>
        </is>
      </c>
    </row>
  </sheetData>
  <mergeCells count="51">
    <mergeCell ref="A99:C99"/>
    <mergeCell ref="A41:C41"/>
    <mergeCell ref="A108:C108"/>
    <mergeCell ref="A37:C37"/>
    <mergeCell ref="A46:C46"/>
    <mergeCell ref="A75:C75"/>
    <mergeCell ref="B81:C81"/>
    <mergeCell ref="A101:C101"/>
    <mergeCell ref="A105:C105"/>
    <mergeCell ref="A50:C50"/>
    <mergeCell ref="A104:C104"/>
    <mergeCell ref="A42:C42"/>
    <mergeCell ref="A33:C33"/>
    <mergeCell ref="B86:C86"/>
    <mergeCell ref="A5:C5"/>
    <mergeCell ref="A32:C32"/>
    <mergeCell ref="A97:C97"/>
    <mergeCell ref="A106:C106"/>
    <mergeCell ref="A100:C100"/>
    <mergeCell ref="A91:C91"/>
    <mergeCell ref="A109:C109"/>
    <mergeCell ref="A35:C35"/>
    <mergeCell ref="C6:C8"/>
    <mergeCell ref="A43:C43"/>
    <mergeCell ref="A20:C20"/>
    <mergeCell ref="A38:C38"/>
    <mergeCell ref="B78:C78"/>
    <mergeCell ref="A44:C44"/>
    <mergeCell ref="A102:C102"/>
    <mergeCell ref="A111:C111"/>
    <mergeCell ref="A31:C31"/>
    <mergeCell ref="A40:C40"/>
    <mergeCell ref="A9:C9"/>
    <mergeCell ref="B84:C84"/>
    <mergeCell ref="A30:C30"/>
    <mergeCell ref="A39:C39"/>
    <mergeCell ref="A34:C34"/>
    <mergeCell ref="A48:C48"/>
    <mergeCell ref="A6:A8"/>
    <mergeCell ref="A36:C36"/>
    <mergeCell ref="A107:C107"/>
    <mergeCell ref="A1:C1"/>
    <mergeCell ref="A94:C94"/>
    <mergeCell ref="A103:C103"/>
    <mergeCell ref="A45:C45"/>
    <mergeCell ref="B80:C80"/>
    <mergeCell ref="A110:C110"/>
    <mergeCell ref="A88:C88"/>
    <mergeCell ref="B85:C85"/>
    <mergeCell ref="B79:C79"/>
    <mergeCell ref="B6:B8"/>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28"/>
  <sheetViews>
    <sheetView topLeftCell="A22" zoomScale="120" zoomScaleNormal="120" workbookViewId="0">
      <selection activeCell="A1" sqref="A1"/>
    </sheetView>
  </sheetViews>
  <sheetFormatPr baseColWidth="10" defaultColWidth="8.83203125" defaultRowHeight="15"/>
  <cols>
    <col width="25" customWidth="1" min="1" max="1"/>
    <col width="20" customWidth="1" min="2" max="2"/>
    <col width="12" customWidth="1" min="3" max="8"/>
    <col width="10" customWidth="1" min="9" max="11"/>
  </cols>
  <sheetData>
    <row r="1" ht="21.75" customHeight="1">
      <c r="A1" s="18" t="inlineStr">
        <is>
          <t>Sake Recipe Calculator</t>
        </is>
      </c>
      <c r="B1" s="19" t="n"/>
      <c r="C1" s="19" t="n"/>
      <c r="D1" s="19" t="n"/>
      <c r="E1" s="19" t="n"/>
      <c r="F1" s="19" t="inlineStr">
        <is>
          <t>v496</t>
        </is>
      </c>
    </row>
    <row r="2" ht="18" customHeight="1">
      <c r="A2" s="19" t="n"/>
      <c r="B2" s="19" t="n"/>
      <c r="C2" s="19" t="n"/>
      <c r="D2" s="19" t="n"/>
      <c r="E2" s="19" t="n"/>
      <c r="F2" s="20" t="n"/>
    </row>
    <row r="3" ht="19.5" customHeight="1">
      <c r="A3" s="163" t="inlineStr">
        <is>
          <t>RECIPE SETTINGS</t>
        </is>
      </c>
    </row>
    <row r="4" ht="19.5" customHeight="1">
      <c r="A4" s="24" t="inlineStr">
        <is>
          <t>Total rice (kg)</t>
        </is>
      </c>
      <c r="B4" s="179" t="n"/>
      <c r="C4" s="26" t="n"/>
      <c r="D4" s="19" t="n"/>
      <c r="E4" s="27" t="n"/>
      <c r="F4" s="19" t="n"/>
    </row>
    <row r="5" ht="19.5" customHeight="1">
      <c r="A5" s="24" t="inlineStr">
        <is>
          <t>Recipe</t>
        </is>
      </c>
      <c r="B5" s="185" t="inlineStr">
        <is>
          <t>Select ▽</t>
        </is>
      </c>
      <c r="C5" s="19" t="n"/>
      <c r="D5" s="19" t="n"/>
      <c r="E5" s="19" t="n"/>
      <c r="F5" s="19" t="n"/>
    </row>
    <row r="6" ht="19.5" customHeight="1">
      <c r="A6" s="24" t="inlineStr">
        <is>
          <t>Moto type</t>
        </is>
      </c>
      <c r="B6" s="29">
        <f>IFERROR(IF(Plan!B36="Select ▽","→ See Plan",Plan!B36),"")</f>
        <v/>
      </c>
      <c r="C6" s="26" t="n"/>
      <c r="D6" s="19" t="n"/>
      <c r="E6" s="19" t="n"/>
      <c r="F6" s="19" t="n"/>
    </row>
    <row r="7" ht="18" customHeight="1">
      <c r="A7" t="inlineStr">
        <is>
          <t>Koji strain</t>
        </is>
      </c>
      <c r="B7" s="177" t="inlineStr">
        <is>
          <t>Select ▽</t>
        </is>
      </c>
      <c r="C7" s="5" t="n"/>
    </row>
    <row r="8" ht="18" customHeight="1">
      <c r="A8" t="inlineStr">
        <is>
          <t>Koji style</t>
        </is>
      </c>
      <c r="B8" s="177" t="inlineStr">
        <is>
          <t>Select ▽</t>
        </is>
      </c>
    </row>
    <row r="9" ht="18" customHeight="1">
      <c r="A9" s="163" t="inlineStr">
        <is>
          <t>RICE LOTS</t>
        </is>
      </c>
    </row>
    <row r="10" ht="18" customHeight="1">
      <c r="A10" s="15" t="inlineStr">
        <is>
          <t>Lot</t>
        </is>
      </c>
      <c r="B10" s="15" t="inlineStr">
        <is>
          <t>Variety</t>
        </is>
      </c>
      <c r="C10" s="15" t="inlineStr">
        <is>
          <t>Polish (%)</t>
        </is>
      </c>
      <c r="D10" s="15" t="inlineStr">
        <is>
          <t>Batch ID</t>
        </is>
      </c>
    </row>
    <row r="11" ht="18" customHeight="1">
      <c r="A11" t="inlineStr">
        <is>
          <t>Lot A</t>
        </is>
      </c>
      <c r="B11" s="177" t="inlineStr">
        <is>
          <t>Select ▽</t>
        </is>
      </c>
      <c r="C11" s="186" t="n"/>
      <c r="D11" s="32" t="n"/>
    </row>
    <row r="12" ht="19.5" customHeight="1">
      <c r="A12" t="inlineStr">
        <is>
          <t>Lot B</t>
        </is>
      </c>
      <c r="B12" s="177" t="inlineStr">
        <is>
          <t>Select ▽</t>
        </is>
      </c>
      <c r="C12" s="186" t="n"/>
      <c r="D12" s="32" t="n"/>
    </row>
    <row r="13" ht="18" customHeight="1">
      <c r="A13" t="inlineStr">
        <is>
          <t>Lot C</t>
        </is>
      </c>
      <c r="B13" s="177" t="inlineStr">
        <is>
          <t>Select ▽</t>
        </is>
      </c>
      <c r="C13" s="186" t="n"/>
      <c r="D13" s="32" t="n"/>
    </row>
    <row r="14" ht="18" customHeight="1">
      <c r="A14" t="inlineStr">
        <is>
          <t>Lot D</t>
        </is>
      </c>
      <c r="B14" s="177" t="inlineStr">
        <is>
          <t>Select ▽</t>
        </is>
      </c>
      <c r="C14" s="186" t="n"/>
      <c r="D14" s="32" t="n"/>
    </row>
    <row r="15" ht="18" customHeight="1"/>
    <row r="16" ht="18" customHeight="1">
      <c r="A16" s="163" t="inlineStr">
        <is>
          <t>RICE ALLOCATIONS</t>
        </is>
      </c>
    </row>
    <row r="17" ht="18" customHeight="1">
      <c r="A17" s="15" t="inlineStr">
        <is>
          <t>Addition</t>
        </is>
      </c>
      <c r="B17" s="15" t="inlineStr">
        <is>
          <t>Lot</t>
        </is>
      </c>
      <c r="C17" s="15" t="inlineStr">
        <is>
          <t>%</t>
        </is>
      </c>
      <c r="D17" s="15" t="inlineStr">
        <is>
          <t>Lot 2</t>
        </is>
      </c>
      <c r="E17" s="15" t="inlineStr">
        <is>
          <t>% (auto)</t>
        </is>
      </c>
    </row>
    <row r="18" ht="18" customHeight="1">
      <c r="A18" t="inlineStr">
        <is>
          <t>Kojimai</t>
        </is>
      </c>
      <c r="B18" s="177" t="inlineStr">
        <is>
          <t>Lot A</t>
        </is>
      </c>
      <c r="C18" s="33" t="n">
        <v>100</v>
      </c>
      <c r="D18" s="30" t="inlineStr">
        <is>
          <t>Select ▽</t>
        </is>
      </c>
      <c r="E18" s="34">
        <f>IF(OR(D18="",D18="Select"),"",100-C18)</f>
        <v/>
      </c>
    </row>
    <row r="19" ht="21.75" customHeight="1">
      <c r="A19" t="inlineStr">
        <is>
          <t>Moto raw</t>
        </is>
      </c>
      <c r="B19" s="177" t="inlineStr">
        <is>
          <t>Lot A</t>
        </is>
      </c>
      <c r="C19" s="33" t="n">
        <v>100</v>
      </c>
      <c r="D19" s="30" t="inlineStr">
        <is>
          <t>Select ▽</t>
        </is>
      </c>
      <c r="E19" s="34">
        <f>IF(OR(D19="",D19="Select"),"",100-C19)</f>
        <v/>
      </c>
    </row>
    <row r="20" ht="18" customHeight="1">
      <c r="A20" t="inlineStr">
        <is>
          <t>Moto steamed</t>
        </is>
      </c>
      <c r="B20" s="177" t="inlineStr">
        <is>
          <t>Lot A</t>
        </is>
      </c>
      <c r="C20" s="33" t="n">
        <v>100</v>
      </c>
      <c r="D20" s="30" t="inlineStr">
        <is>
          <t>Select ▽</t>
        </is>
      </c>
      <c r="E20" s="34">
        <f>IF(OR(D20="",D20="Select"),"",100-C20)</f>
        <v/>
      </c>
    </row>
    <row r="21" ht="19.5" customHeight="1">
      <c r="A21" t="inlineStr">
        <is>
          <t>Soe</t>
        </is>
      </c>
      <c r="B21" s="177" t="inlineStr">
        <is>
          <t>Lot A</t>
        </is>
      </c>
      <c r="C21" s="33" t="n">
        <v>100</v>
      </c>
      <c r="D21" s="30" t="inlineStr">
        <is>
          <t>Select ▽</t>
        </is>
      </c>
      <c r="E21" s="34">
        <f>IF(OR(D21="",D21="Select"),"",100-C21)</f>
        <v/>
      </c>
    </row>
    <row r="22" ht="19.5" customHeight="1">
      <c r="A22" t="inlineStr">
        <is>
          <t>Naka</t>
        </is>
      </c>
      <c r="B22" s="177" t="inlineStr">
        <is>
          <t>Lot A</t>
        </is>
      </c>
      <c r="C22" s="33" t="n">
        <v>100</v>
      </c>
      <c r="D22" s="30" t="inlineStr">
        <is>
          <t>Select ▽</t>
        </is>
      </c>
      <c r="E22" s="34">
        <f>IF(OR(D22="",D22="Select"),"",100-C22)</f>
        <v/>
      </c>
    </row>
    <row r="23" ht="18" customHeight="1">
      <c r="A23" t="inlineStr">
        <is>
          <t>Tome</t>
        </is>
      </c>
      <c r="B23" s="177" t="inlineStr">
        <is>
          <t>Lot A</t>
        </is>
      </c>
      <c r="C23" s="33" t="n">
        <v>100</v>
      </c>
      <c r="D23" s="30" t="inlineStr">
        <is>
          <t>Select ▽</t>
        </is>
      </c>
      <c r="E23" s="34">
        <f>IF(OR(D23="",D23="Select"),"",100-C23)</f>
        <v/>
      </c>
    </row>
    <row r="24" ht="18" customHeight="1">
      <c r="A24" t="inlineStr">
        <is>
          <t>Yondan</t>
        </is>
      </c>
      <c r="B24" s="177" t="inlineStr">
        <is>
          <t>Lot A</t>
        </is>
      </c>
      <c r="C24" s="33" t="n">
        <v>100</v>
      </c>
      <c r="D24" s="30" t="inlineStr">
        <is>
          <t>Select ▽</t>
        </is>
      </c>
      <c r="E24" s="34">
        <f>IF(OR(D24="",D24="Select"),"",100-C24)</f>
        <v/>
      </c>
    </row>
    <row r="25" ht="18" customHeight="1"/>
    <row r="26" ht="21.75" customHeight="1">
      <c r="A26" s="163" t="inlineStr">
        <is>
          <t>CALCULATED TOTALS</t>
        </is>
      </c>
    </row>
    <row r="27" ht="18" customHeight="1">
      <c r="A27" s="24" t="inlineStr">
        <is>
          <t>Total DRY rice (kg)</t>
        </is>
      </c>
      <c r="B27" s="36">
        <f>IF(OR(_Inputs!B4="",_Inputs!B4=0),"",_Inputs!B4)</f>
        <v/>
      </c>
      <c r="C27" s="37" t="n"/>
      <c r="D27" s="19" t="n"/>
      <c r="E27" s="38" t="n"/>
      <c r="F27" s="19" t="n"/>
    </row>
    <row r="28" ht="18" customHeight="1">
      <c r="A28" t="inlineStr">
        <is>
          <t>Moto raw rice (kg)</t>
        </is>
      </c>
      <c r="B28" s="39">
        <f>IFERROR(IF(OR(_Allocations!B23="",_Allocations!B23=0),"",_Allocations!B23),"")</f>
        <v/>
      </c>
    </row>
    <row r="29" ht="19.5" customHeight="1">
      <c r="A29" s="24" t="inlineStr">
        <is>
          <t>Rice to steam (kg)</t>
        </is>
      </c>
      <c r="B29" s="36">
        <f>IFERROR(IF(OR(B27="",B27=0),"",B27-IFERROR(IF(OR(B28="",B28="-"),0,B28),0)),"")</f>
        <v/>
      </c>
      <c r="C29" s="40" t="n"/>
      <c r="D29" s="19" t="n"/>
      <c r="E29" s="38" t="n"/>
      <c r="F29" s="19" t="n"/>
    </row>
    <row r="30" ht="18" customHeight="1">
      <c r="A30" s="24" t="inlineStr">
        <is>
          <t>Koji (kg dry)</t>
        </is>
      </c>
      <c r="B30" s="36">
        <f>IFERROR(IF(_Allocations!B3="","",_Allocations!B3),"")</f>
        <v/>
      </c>
      <c r="C30" s="41" t="n"/>
      <c r="D30" s="42" t="n"/>
      <c r="E30" s="38" t="n"/>
      <c r="F30" s="19" t="n"/>
    </row>
    <row r="31" ht="18" customHeight="1">
      <c r="A31" s="24" t="inlineStr">
        <is>
          <t>Total water (L)</t>
        </is>
      </c>
      <c r="B31" s="36">
        <f>IFERROR(IF(_Allocations!B4="","",_Allocations!B4),"")</f>
        <v/>
      </c>
      <c r="C31" s="41" t="n"/>
      <c r="D31" s="43" t="n"/>
      <c r="E31" s="38" t="n"/>
      <c r="F31" s="19" t="n"/>
    </row>
    <row r="32" ht="21.75" customHeight="1">
      <c r="A32" t="inlineStr">
        <is>
          <t>Total water (%)</t>
        </is>
      </c>
      <c r="B32" s="44">
        <f>IFERROR(IF(OR(B4="",B4=0,B31=""),"",ROUND(B31/B4*100,0)),"")</f>
        <v/>
      </c>
    </row>
    <row r="33" ht="18" customHeight="1">
      <c r="A33" t="inlineStr">
        <is>
          <t>RiceWater ratio</t>
        </is>
      </c>
      <c r="B33" s="39">
        <f>IFERROR(IF(OR(B4="",B31=""),"",ROUND(B31/B4,2)),"")</f>
        <v/>
      </c>
    </row>
    <row r="34" ht="18" customHeight="1">
      <c r="A34" s="24" t="inlineStr">
        <is>
          <t>Mash volume (L)</t>
        </is>
      </c>
      <c r="B34" s="36">
        <f>IFERROR(IF(_Allocations!B6="","",ROUND(_Allocations!B6,2)),"")</f>
        <v/>
      </c>
      <c r="C34" s="41" t="n"/>
      <c r="D34" s="42" t="n"/>
      <c r="E34" s="38" t="n"/>
      <c r="F34" s="19" t="n"/>
    </row>
    <row r="35" ht="15" customHeight="1">
      <c r="A35" s="24" t="inlineStr">
        <is>
          <t>Genshu yield (L)</t>
        </is>
      </c>
      <c r="B35" s="45">
        <f>IFERROR(IF(_Allocations!B7="","",ROUND(_Allocations!B7,2)),"")</f>
        <v/>
      </c>
      <c r="C35" s="41" t="n"/>
      <c r="D35" s="42" t="n"/>
      <c r="E35" s="38" t="n"/>
      <c r="F35" s="19" t="n"/>
    </row>
    <row r="36" ht="19.5" customHeight="1">
      <c r="A36" s="46" t="inlineStr">
        <is>
          <t>Press method</t>
        </is>
      </c>
      <c r="B36" s="47" t="inlineStr">
        <is>
          <t>Select ▽</t>
        </is>
      </c>
      <c r="C36" s="48" t="n"/>
      <c r="D36" s="49" t="n"/>
      <c r="E36" s="50" t="n"/>
      <c r="F36" s="19" t="n"/>
    </row>
    <row r="37" ht="15" customHeight="1">
      <c r="A37" s="19" t="inlineStr">
        <is>
          <t>Yield @15% ABV (L)</t>
        </is>
      </c>
      <c r="B37" s="51">
        <f>IFERROR(IF(_Allocations!B8="","",ROUND(_Allocations!B8,2)),"")</f>
        <v/>
      </c>
      <c r="C37" s="52" t="n"/>
      <c r="D37" s="52" t="n"/>
      <c r="E37" s="53" t="n"/>
      <c r="F37" s="19" t="n"/>
    </row>
    <row r="38" ht="15" customHeight="1">
      <c r="A38" s="163" t="inlineStr">
        <is>
          <t>STAGE BREAKDOWN</t>
        </is>
      </c>
    </row>
    <row r="39" ht="15" customHeight="1">
      <c r="A39" s="228" t="inlineStr">
        <is>
          <t>STAGE</t>
        </is>
      </c>
      <c r="B39" s="229" t="inlineStr">
        <is>
          <t>Raw (kg)</t>
        </is>
      </c>
      <c r="C39" s="229" t="inlineStr">
        <is>
          <t>Koji (kg)</t>
        </is>
      </c>
      <c r="D39" s="229" t="inlineStr">
        <is>
          <t>Kakemai (kg)</t>
        </is>
      </c>
      <c r="E39" s="229" t="inlineStr">
        <is>
          <t>Water (L)</t>
        </is>
      </c>
      <c r="F39" s="229" t="inlineStr">
        <is>
          <t>W:R ratio</t>
        </is>
      </c>
      <c r="G39" s="56" t="n"/>
    </row>
    <row r="40" ht="15" customHeight="1">
      <c r="A40" s="57" t="inlineStr">
        <is>
          <t>Moto</t>
        </is>
      </c>
      <c r="B40" s="58">
        <f>IFERROR(IF(OR(_Allocations!B23="",_Allocations!B23=0),"-",ROUND(_Allocations!B23,2)),"-")</f>
        <v/>
      </c>
      <c r="C40" s="58">
        <f>IFERROR(IF(OR(_Allocations!C11="",_Allocations!C11=0),"-",ROUND(_Allocations!C11,2)),"-")</f>
        <v/>
      </c>
      <c r="D40" s="58">
        <f>IFERROR(IF(OR(_Allocations!B24="",_Allocations!B24=0),"-",ROUND(_Allocations!B24,2)),"-")</f>
        <v/>
      </c>
      <c r="E40" s="58">
        <f>IFERROR(IF(_Allocations!D11="","-",ROUND(_Allocations!D11,2)),"-")</f>
        <v/>
      </c>
      <c r="F40" s="59">
        <f>IFERROR(IF(_Allocations!D11="","-",ROUND(_Allocations!D11/(_Allocations!C11+_Allocations!B24+_Allocations!B23),2)),"-")</f>
        <v/>
      </c>
    </row>
    <row r="41" ht="15" customHeight="1">
      <c r="A41" s="57" t="inlineStr">
        <is>
          <t>Soe</t>
        </is>
      </c>
      <c r="B41" s="58">
        <f>"-"</f>
        <v/>
      </c>
      <c r="C41" s="58">
        <f>IFERROR(IF(OR(_Allocations!C12="",_Allocations!C12=0),"-",ROUND(_Allocations!C12,2)),"-")</f>
        <v/>
      </c>
      <c r="D41" s="59">
        <f>IFERROR(IF(OR(_Allocations!B12="",_Allocations!B12=0),"-",ROUND(_Allocations!B12,2)),"-")</f>
        <v/>
      </c>
      <c r="E41" s="58">
        <f>IFERROR(IF(_Allocations!D12="","-",ROUND(_Allocations!D12,2)),"-")</f>
        <v/>
      </c>
      <c r="F41" s="59">
        <f>IFERROR(IF(OR(_Allocations!D12="",_Allocations!B12=0),"-",ROUND(_Allocations!D12/(_Allocations!C12+_Allocations!B12),2)),"-")</f>
        <v/>
      </c>
    </row>
    <row r="42" ht="19.5" customHeight="1">
      <c r="A42" s="57" t="inlineStr">
        <is>
          <t>Naka</t>
        </is>
      </c>
      <c r="B42" s="58">
        <f>"-"</f>
        <v/>
      </c>
      <c r="C42" s="58">
        <f>IFERROR(IF(OR(_Allocations!C13="",_Allocations!C13=0),"-",ROUND(_Allocations!C13,2)),"-")</f>
        <v/>
      </c>
      <c r="D42" s="59">
        <f>IFERROR(IF(OR(_Allocations!B13="",_Allocations!B13=0),"-",ROUND(_Allocations!B13,2)),"-")</f>
        <v/>
      </c>
      <c r="E42" s="58">
        <f>IFERROR(IF(_Allocations!D13="","-",ROUND(_Allocations!D13,2)),"-")</f>
        <v/>
      </c>
      <c r="F42" s="59">
        <f>IFERROR(IF(OR(_Allocations!D13="",_Allocations!B13=0),"-",ROUND(_Allocations!D13/(_Allocations!C13+_Allocations!B13),2)),"-")</f>
        <v/>
      </c>
    </row>
    <row r="43" ht="15" customHeight="1">
      <c r="A43" s="57" t="inlineStr">
        <is>
          <t>Tome</t>
        </is>
      </c>
      <c r="B43" s="58">
        <f>"-"</f>
        <v/>
      </c>
      <c r="C43" s="58">
        <f>IFERROR(IF(OR(_Allocations!C14="",_Allocations!C14=0),"-",ROUND(_Allocations!C14,2)),"-")</f>
        <v/>
      </c>
      <c r="D43" s="59">
        <f>IFERROR(IF(OR(_Allocations!B14="",_Allocations!B14=0),"-",ROUND(_Allocations!B14,2)),"-")</f>
        <v/>
      </c>
      <c r="E43" s="58">
        <f>IFERROR(IF(_Allocations!D14="","-",ROUND(_Allocations!D14,2)),"-")</f>
        <v/>
      </c>
      <c r="F43" s="59">
        <f>IFERROR(IF(OR(_Allocations!D14="",_Allocations!B14=0),"-",ROUND(_Allocations!D14/(_Allocations!C14+_Allocations!B14),2)),"-")</f>
        <v/>
      </c>
    </row>
    <row r="44" ht="15" customHeight="1">
      <c r="A44" s="57" t="inlineStr">
        <is>
          <t>Yondan</t>
        </is>
      </c>
      <c r="B44" s="58">
        <f>"-"</f>
        <v/>
      </c>
      <c r="C44" s="58">
        <f>IFERROR(IF(OR(_Allocations!C15="",_Allocations!C15=0),"-",ROUND(_Allocations!C15,2)),"-")</f>
        <v/>
      </c>
      <c r="D44" s="59">
        <f>IFERROR(IF(OR(_Allocations!B15="",_Allocations!B15=0),"-",ROUND(_Allocations!B15,2)),"-")</f>
        <v/>
      </c>
      <c r="E44" s="58">
        <f>IFERROR(IF(OR(_Allocations!D15="",_Allocations!D15=0),"-",ROUND(_Allocations!D15,2)),"-")</f>
        <v/>
      </c>
      <c r="F44" s="59">
        <f>IFERROR(IF(OR(_Allocations!D15="",_Allocations!B15=0),"-",ROUND(_Allocations!D15/(_Allocations!C15+_Allocations!B15),2)),"-")</f>
        <v/>
      </c>
    </row>
    <row r="45" ht="15" customHeight="1">
      <c r="A45" s="26" t="n"/>
      <c r="B45" s="27" t="n"/>
      <c r="C45" s="19" t="n"/>
      <c r="D45" s="19" t="n"/>
      <c r="E45" s="19" t="n"/>
      <c r="F45" s="19" t="n"/>
    </row>
    <row r="46" ht="15" customHeight="1">
      <c r="A46" s="163" t="inlineStr">
        <is>
          <t>KOJI PRODUCTION</t>
        </is>
      </c>
    </row>
    <row r="47" ht="15" customHeight="1">
      <c r="A47" s="24" t="inlineStr">
        <is>
          <t>Koji required (kg dry)</t>
        </is>
      </c>
      <c r="B47" s="60">
        <f>IFERROR(IF(_Allocations!B18="","",_Allocations!B18),"")</f>
        <v/>
      </c>
      <c r="C47" s="38" t="n"/>
      <c r="D47" s="19" t="n"/>
      <c r="E47" s="38" t="n"/>
      <c r="F47" s="19" t="n"/>
    </row>
    <row r="48" ht="15" customHeight="1">
      <c r="A48" s="24" t="inlineStr">
        <is>
          <t>Dry rice for koji (kg)</t>
        </is>
      </c>
      <c r="B48" s="36">
        <f>IFERROR(IF(OR(_Allocations!B19="",_Allocations!B19=0),"",ROUND(_Allocations!B19/1.4,2)),"")</f>
        <v/>
      </c>
      <c r="C48" s="38" t="n"/>
      <c r="D48" s="19" t="n"/>
      <c r="E48" s="38" t="n"/>
      <c r="F48" s="19" t="n"/>
    </row>
    <row r="49" ht="19.5" customHeight="1">
      <c r="A49" s="24" t="inlineStr">
        <is>
          <t>Steamed weight (kg)</t>
        </is>
      </c>
      <c r="B49" s="36">
        <f>IFERROR(IF(_Allocations!B19="","",_Allocations!B19),"")</f>
        <v/>
      </c>
      <c r="C49" s="38" t="n"/>
      <c r="D49" s="19" t="n"/>
      <c r="E49" s="38" t="n"/>
      <c r="F49" s="19" t="n"/>
    </row>
    <row r="50" ht="15" customHeight="1">
      <c r="A50" s="24" t="inlineStr">
        <is>
          <t>Pre-inoc weight (kg)</t>
        </is>
      </c>
      <c r="B50" s="36">
        <f>IFERROR(IF(_Allocations!B20="","",_Allocations!B20),"")</f>
        <v/>
      </c>
      <c r="C50" s="38" t="n"/>
      <c r="D50" s="19" t="n"/>
      <c r="E50" s="38" t="n"/>
      <c r="F50" s="19" t="n"/>
    </row>
    <row r="51" ht="15" customHeight="1">
      <c r="A51" s="24" t="inlineStr">
        <is>
          <t>Estimated trays</t>
        </is>
      </c>
      <c r="B51" s="36">
        <f>IFERROR(IF(_Allocations!B21="","",_Allocations!B21),"")</f>
        <v/>
      </c>
      <c r="C51" s="38" t="n"/>
      <c r="D51" s="19" t="n"/>
      <c r="E51" s="38" t="n"/>
      <c r="F51" s="19" t="n"/>
    </row>
    <row r="52" ht="15" customHeight="1"/>
    <row r="53" ht="15" customHeight="1">
      <c r="A53" s="163" t="inlineStr">
        <is>
          <t>MOTO SANITY CHECKS</t>
        </is>
      </c>
    </row>
    <row r="54" ht="15" customHeight="1">
      <c r="A54" t="inlineStr">
        <is>
          <t>Moto ricewater ratio</t>
        </is>
      </c>
      <c r="B54" s="39">
        <f>IFERROR(IF(OR(_Allocations!D11="",_Allocations!D11=0),"",ROUND(_Allocations!D11/(IFERROR(_Allocations!B23,0)+IFERROR(_Allocations!B24,0)+IFERROR(_Allocations!C11,0)),2)),"")</f>
        <v/>
      </c>
    </row>
    <row r="55" ht="15" customHeight="1">
      <c r="A55" t="inlineStr">
        <is>
          <t>Moto as % of total rice</t>
        </is>
      </c>
      <c r="B55" s="39">
        <f>IFERROR(IF(OR($B$27="",B27=0),"",ROUND((IFERROR(_Allocations!B23,0)+IFERROR(_Allocations!B24,0)+IFERROR(_Allocations!C11,0))/$B$27*100,0)&amp;"%"),"")</f>
        <v/>
      </c>
    </row>
    <row r="56" ht="15" customHeight="1">
      <c r="A56" t="inlineStr">
        <is>
          <t>Moto volume guestimate (L)</t>
        </is>
      </c>
      <c r="B56" s="39">
        <f>IFERROR(IF(OR(_Allocations!D11="",_Allocations!D11=0),"",_Allocations!D11+(IFERROR(_Allocations!B23,0)+IFERROR(_Allocations!B24,0)+IFERROR(_Allocations!C11,0))*0.35),"")</f>
        <v/>
      </c>
    </row>
    <row r="57" ht="15" customHeight="1"/>
    <row r="58" ht="15" customHeight="1">
      <c r="A58" s="163" t="inlineStr">
        <is>
          <t>YEAST &amp; LACTIC</t>
        </is>
      </c>
    </row>
    <row r="59" ht="15" customHeight="1">
      <c r="A59" s="24" t="inlineStr">
        <is>
          <t>Pitch rate (M cells/mL)</t>
        </is>
      </c>
      <c r="B59" s="36">
        <f>IF(B6="","",IF(OR(ISNUMBER(SEARCH("Sokujo",B6)),ISNUMBER(SEARCH("sokujo",B6))),10,IF(OR(ISNUMBER(SEARCH("Kimoto",B6)),ISNUMBER(SEARCH("kimoto",B6))),7,IF(OR(ISNUMBER(SEARCH("Yamahai",B6)),ISNUMBER(SEARCH("yamahai",B6))),7,IF(OR(ISNUMBER(SEARCH("Bodaimoto",B6)),ISNUMBER(SEARCH("bodaimoto",B6))),8,IF(OR(ISNUMBER(SEARCH("Mizumoto",B6)),ISNUMBER(SEARCH("mizumoto",B6))),6,IF(OR(ISNUMBER(SEARCH("Toka",B6)),ISNUMBER(SEARCH("Tōka",B6))),9,10)))))))</f>
        <v/>
      </c>
      <c r="C59" s="38" t="n"/>
      <c r="E59" s="38" t="n"/>
    </row>
    <row r="60" hidden="1" ht="15" customHeight="1">
      <c r="A60" s="24" t="inlineStr">
        <is>
          <t>Dry yeast needed (g)</t>
        </is>
      </c>
      <c r="B60" s="45">
        <f>IFERROR('Yeast Calc'!B12,"")</f>
        <v/>
      </c>
      <c r="C60" s="38" t="n"/>
      <c r="E60" s="38" t="n"/>
    </row>
    <row r="61" hidden="1" ht="15" customHeight="1">
      <c r="A61" s="24" t="inlineStr">
        <is>
          <t>Liquid yeast needed (mL)</t>
        </is>
      </c>
      <c r="B61" s="36">
        <f>IFERROR('Yeast Calc'!B13,"")</f>
        <v/>
      </c>
      <c r="C61" s="38" t="n"/>
      <c r="E61" s="38" t="n"/>
    </row>
    <row r="62" ht="15" customHeight="1">
      <c r="A62" s="24" t="inlineStr">
        <is>
          <t>Liquid pouches</t>
        </is>
      </c>
      <c r="B62" s="36">
        <f>IFERROR(IF('Yeast Calc'!B14="","",CEILING('Yeast Calc'!B14,1)),"")</f>
        <v/>
      </c>
      <c r="C62" s="38" t="n"/>
      <c r="E62" s="38" t="n"/>
    </row>
    <row r="63" ht="15" customHeight="1">
      <c r="A63" s="24" t="inlineStr">
        <is>
          <t>Acid type</t>
        </is>
      </c>
      <c r="B63" s="61">
        <f>IFERROR(IF(Plan!B36="Select ▽","→ See Plan",IF(OR(Plan!B36="Kimoto",Plan!B36="Yamahai",Plan!B36="Bodaimoto"),"None (natural)",IF(Plan!B36="Sokujo","Lactic acid","→ See Plan"))),"")</f>
        <v/>
      </c>
      <c r="C63" s="38" t="n"/>
      <c r="E63" s="38" t="n"/>
    </row>
    <row r="64" ht="15" customHeight="1">
      <c r="A64" t="inlineStr">
        <is>
          <t>Acid amount (mL/100L)</t>
        </is>
      </c>
      <c r="B64" s="34">
        <f>IF(B63="Select","",IF(B63="Natural",0,IFERROR(VLOOKUP(B63,_Lookups!$F$2:$H$10,3,FALSE()),"")))</f>
        <v/>
      </c>
    </row>
    <row r="65" ht="15" customHeight="1"/>
    <row r="66" ht="15" customHeight="1">
      <c r="A66" s="163" t="inlineStr">
        <is>
          <t>AMINO ACIDITY ESTIMATE</t>
        </is>
      </c>
    </row>
    <row r="67" ht="15" customHeight="1">
      <c r="A67" s="5" t="n"/>
      <c r="B67" s="62" t="n"/>
      <c r="C67" s="5" t="n"/>
      <c r="D67" s="63" t="n"/>
      <c r="E67" s="38" t="n"/>
    </row>
    <row r="68" ht="15" customHeight="1">
      <c r="A68" s="64" t="inlineStr">
        <is>
          <t>Predicted amino acidity</t>
        </is>
      </c>
      <c r="B68" s="65">
        <f>IFERROR(IF(_Allocations!B71="","",ROUND(_Allocations!B71,1)),"")</f>
        <v/>
      </c>
      <c r="C68" s="5" t="n"/>
      <c r="D68" s="5" t="n"/>
      <c r="E68" s="38" t="n"/>
    </row>
    <row r="69" ht="15" customHeight="1">
      <c r="A69" s="5" t="inlineStr">
        <is>
          <t>Character</t>
        </is>
      </c>
      <c r="B69" s="66">
        <f>IFERROR(IF(_Allocations!B72="","",_Allocations!B72),"")</f>
        <v/>
      </c>
      <c r="C69" s="67" t="n"/>
      <c r="D69" s="68" t="n"/>
      <c r="E69" s="38" t="n"/>
    </row>
    <row r="70" ht="15" customHeight="1">
      <c r="A70" s="5" t="n"/>
      <c r="B70" s="69" t="n"/>
      <c r="C70" s="67" t="n"/>
      <c r="D70" s="68" t="n"/>
      <c r="E70" s="38" t="n"/>
    </row>
    <row r="71" ht="15" customHeight="1">
      <c r="A71" s="6" t="inlineStr">
        <is>
          <t>Calculation basis</t>
        </is>
      </c>
      <c r="B71" s="67" t="n"/>
      <c r="C71" s="67" t="n"/>
      <c r="D71" s="70" t="n"/>
    </row>
    <row r="72" ht="15" customHeight="1">
      <c r="A72" s="71" t="inlineStr">
        <is>
          <t>Protein → Uptake → Residual (g)</t>
        </is>
      </c>
      <c r="B72" s="72">
        <f>IFERROR(IF(_Allocations!B64="","",ROUND(_Allocations!B64,0)&amp;" → "&amp;ROUND(_Allocations!B67,0)&amp;" ("&amp;_Allocations!B68&amp;") → "&amp;ROUND(_Allocations!B69,0)),"")</f>
        <v/>
      </c>
      <c r="C72" s="67" t="n"/>
      <c r="D72" s="70" t="n"/>
    </row>
    <row r="73" ht="15" customHeight="1">
      <c r="A73" s="5" t="n"/>
      <c r="B73" s="5" t="n"/>
      <c r="C73" s="5" t="n"/>
      <c r="D73" s="70" t="n"/>
    </row>
    <row r="74" ht="15" customHeight="1">
      <c r="A74" s="5" t="n"/>
      <c r="B74" s="67" t="n"/>
      <c r="C74" s="67" t="n"/>
      <c r="D74" s="70" t="n"/>
    </row>
    <row r="75" ht="15" customHeight="1">
      <c r="A75" s="5" t="n"/>
      <c r="B75" s="67" t="n"/>
      <c r="C75" s="67" t="n"/>
      <c r="D75" s="70" t="n"/>
    </row>
    <row r="76" ht="15" customHeight="1">
      <c r="A76" s="5" t="n"/>
      <c r="B76" s="67" t="n"/>
      <c r="C76" s="67" t="n"/>
      <c r="D76" s="70" t="n"/>
    </row>
    <row r="77" ht="15" customHeight="1">
      <c r="A77" s="163" t="inlineStr">
        <is>
          <t>WATER CHEMISTRY</t>
        </is>
      </c>
    </row>
    <row r="78" ht="15" customHeight="1">
      <c r="A78" s="15" t="n"/>
      <c r="B78" s="73" t="n"/>
      <c r="C78" s="5" t="n"/>
      <c r="D78" s="5" t="n"/>
    </row>
    <row r="79" ht="15" customHeight="1">
      <c r="A79" s="15" t="inlineStr">
        <is>
          <t>Source preset</t>
        </is>
      </c>
      <c r="B79" s="187" t="inlineStr">
        <is>
          <t>Select ▽</t>
        </is>
      </c>
      <c r="C79" s="5" t="n"/>
      <c r="D79" s="5" t="n"/>
    </row>
    <row r="80" ht="15" customHeight="1">
      <c r="A80" s="5" t="inlineStr">
        <is>
          <t>Calcium (ppm)</t>
        </is>
      </c>
      <c r="B80" s="74">
        <f>IF($B$79="Select","",IFERROR(VLOOKUP($B$79,_Lookups!$AK$2:$AV$30,2,FALSE()),""))</f>
        <v/>
      </c>
      <c r="C80" s="5" t="n"/>
      <c r="D80" s="5" t="n"/>
    </row>
    <row r="81" ht="15" customHeight="1">
      <c r="A81" s="5" t="inlineStr">
        <is>
          <t>Magnesium (ppm)</t>
        </is>
      </c>
      <c r="B81" s="74">
        <f>IF($B$79="Select","",IFERROR(VLOOKUP($B$79,_Lookups!$AK$2:$AV$30,3,FALSE()),""))</f>
        <v/>
      </c>
      <c r="C81" s="5" t="n"/>
      <c r="D81" s="5" t="n"/>
    </row>
    <row r="82" ht="15" customHeight="1">
      <c r="A82" s="5" t="inlineStr">
        <is>
          <t>Potassium (ppm)</t>
        </is>
      </c>
      <c r="B82" s="74">
        <f>IF($B$79="Select","",IFERROR(VLOOKUP($B$79,_Lookups!$AK$2:$AV$30,4,FALSE()),""))</f>
        <v/>
      </c>
      <c r="C82" s="5" t="n"/>
      <c r="D82" s="5" t="n"/>
    </row>
    <row r="83" ht="15" customHeight="1">
      <c r="A83" s="75" t="inlineStr">
        <is>
          <t>Sodium (ppm)</t>
        </is>
      </c>
      <c r="B83" s="74">
        <f>IF($B$79="Select","",IFERROR(VLOOKUP($B$79,_Lookups!$AK$2:$AV$30,5,FALSE()),""))</f>
        <v/>
      </c>
      <c r="C83" s="14">
        <f>IF(OR(B83="",B83=0),"",IF(B83&gt;50,"⚠ High","OK"))</f>
        <v/>
      </c>
      <c r="D83" s="5" t="n"/>
    </row>
    <row r="84" ht="15" customHeight="1">
      <c r="A84" s="15" t="inlineStr">
        <is>
          <t>Chloride (ppm)</t>
        </is>
      </c>
      <c r="B84" s="74">
        <f>IF($B$79="Select","",IFERROR(VLOOKUP($B$79,_Lookups!$AK$2:$AV$30,6,FALSE()),""))</f>
        <v/>
      </c>
      <c r="C84" s="5" t="n"/>
      <c r="D84" s="5" t="n"/>
    </row>
    <row r="85" ht="15" customHeight="1">
      <c r="A85" s="76" t="inlineStr">
        <is>
          <t>Sulfate (ppm)</t>
        </is>
      </c>
      <c r="B85" s="74">
        <f>IF($B$79="Select","",IFERROR(VLOOKUP($B$79,_Lookups!$AK$2:$AV$30,7,FALSE()),""))</f>
        <v/>
      </c>
      <c r="C85" s="5" t="n"/>
      <c r="D85" s="5" t="n"/>
    </row>
    <row r="86" ht="15" customHeight="1">
      <c r="A86" t="inlineStr">
        <is>
          <t>Phosphate (ppm)</t>
        </is>
      </c>
      <c r="B86" s="39">
        <f>IF($B$79="Select","",IFERROR(VLOOKUP($B$79,_Lookups!$AK$2:$AV$30,8,FALSE()),""))</f>
        <v/>
      </c>
    </row>
    <row r="87" ht="15" customHeight="1">
      <c r="A87" t="inlineStr">
        <is>
          <t>Iron (ppm)</t>
        </is>
      </c>
      <c r="B87" s="181">
        <f>IF($B$79="Select","",IFERROR(VLOOKUP($B$79,_Lookups!$AK$2:$AV$30,10,FALSE()),""))</f>
        <v/>
      </c>
      <c r="C87" s="34">
        <f>IF(B87="","",IF(B87&gt;0.02,"🛑 Filter required","OK"))</f>
        <v/>
      </c>
    </row>
    <row r="88" ht="15" customHeight="1">
      <c r="A88" s="15" t="inlineStr">
        <is>
          <t>Manganese (ppm)</t>
        </is>
      </c>
      <c r="B88" s="181">
        <f>IF($B$79="Select","",IFERROR(VLOOKUP($B$79,_Lookups!$AK$2:$AV$30,11,FALSE()),""))</f>
        <v/>
      </c>
      <c r="C88" s="34">
        <f>IF(B88="","",IF(B88&gt;0.02,"🛑 Filter required","OK"))</f>
        <v/>
      </c>
    </row>
    <row r="89" ht="15" customHeight="1">
      <c r="A89" t="inlineStr">
        <is>
          <t>pH</t>
        </is>
      </c>
      <c r="B89" s="181">
        <f>IF($B$79="Select","",IFERROR(VLOOKUP($B$79,_Lookups!$AK$2:$AV$30,12,FALSE()),""))</f>
        <v/>
      </c>
    </row>
    <row r="90" ht="15" customHeight="1">
      <c r="A90" t="inlineStr">
        <is>
          <t>Hardness (mg/L)</t>
        </is>
      </c>
      <c r="B90" s="39">
        <f>IF($B$79="Select","",IFERROR(VLOOKUP($B$79,_Lookups!$AK$2:$AV$30,9,FALSE()),""))</f>
        <v/>
      </c>
    </row>
    <row r="92" ht="15" customHeight="1">
      <c r="A92" s="163" t="inlineStr">
        <is>
          <t>TARGET PROFILE</t>
        </is>
      </c>
    </row>
    <row r="93" ht="15" customHeight="1">
      <c r="A93" t="inlineStr">
        <is>
          <t>Style</t>
        </is>
      </c>
      <c r="B93" s="177" t="inlineStr">
        <is>
          <t>Select ▽</t>
        </is>
      </c>
    </row>
    <row r="95" ht="15" customHeight="1">
      <c r="A95" s="15" t="inlineStr">
        <is>
          <t>Ion</t>
        </is>
      </c>
      <c r="B95" s="15" t="inlineStr">
        <is>
          <t>Target</t>
        </is>
      </c>
      <c r="C95" s="15" t="inlineStr">
        <is>
          <t>Source</t>
        </is>
      </c>
      <c r="D95" s="15" t="inlineStr">
        <is>
          <t>Delta</t>
        </is>
      </c>
      <c r="E95" s="15" t="inlineStr">
        <is>
          <t>Status</t>
        </is>
      </c>
      <c r="F95" s="15" t="inlineStr">
        <is>
          <t>Action</t>
        </is>
      </c>
    </row>
    <row r="96" ht="15" customHeight="1">
      <c r="A96" t="inlineStr">
        <is>
          <t>Calcium</t>
        </is>
      </c>
      <c r="B96" s="34">
        <f>IF($B$93="Select","",IFERROR(VLOOKUP($B$93,_Lookups!$AA$2:$AI$15,2,FALSE()),""))</f>
        <v/>
      </c>
      <c r="C96" s="39">
        <f>IFERROR(B80,"")</f>
        <v/>
      </c>
      <c r="D96" s="34">
        <f>IF(OR(B96="",C96=""),"",B96-C96)</f>
        <v/>
      </c>
      <c r="E96" s="34">
        <f>IF(OR(D96="",D96=0),"",IF(D96&gt;0,"Add",IF(D96&lt;-5,"Dilute/RO","OK")))</f>
        <v/>
      </c>
    </row>
    <row r="97" ht="15" customHeight="1">
      <c r="A97" t="inlineStr">
        <is>
          <t>Magnesium</t>
        </is>
      </c>
      <c r="B97" s="34">
        <f>IF($B$93="Select","",IFERROR(VLOOKUP($B$93,_Lookups!$AA$2:$AI$15,3,FALSE()),""))</f>
        <v/>
      </c>
      <c r="C97" s="39">
        <f>IFERROR(B81,"")</f>
        <v/>
      </c>
      <c r="D97" s="34">
        <f>IF(OR(B97="",C97=""),"",B97-C97)</f>
        <v/>
      </c>
      <c r="E97" s="34">
        <f>IF(OR(D97="",D97=0),"",IF(D97&gt;0,"Add",IF(D97&lt;-5,"Dilute/RO","OK")))</f>
        <v/>
      </c>
    </row>
    <row r="98" ht="15" customHeight="1">
      <c r="A98" t="inlineStr">
        <is>
          <t>Potassium</t>
        </is>
      </c>
      <c r="B98" s="34">
        <f>IF($B$93="Select","",IFERROR(VLOOKUP($B$93,_Lookups!$AA$2:$AI$15,4,FALSE()),""))</f>
        <v/>
      </c>
      <c r="C98" s="39">
        <f>IFERROR(B82,"")</f>
        <v/>
      </c>
      <c r="D98" s="34">
        <f>IF(OR(B98="",C98=""),"",B98-C98)</f>
        <v/>
      </c>
      <c r="E98" s="34">
        <f>IF(OR(D98="",D98=0),"",IF(D98&gt;0,"Add",IF(D98&lt;-5,"Dilute/RO","OK")))</f>
        <v/>
      </c>
    </row>
    <row r="99" ht="15" customHeight="1">
      <c r="A99" t="inlineStr">
        <is>
          <t>Sodium</t>
        </is>
      </c>
      <c r="B99" s="34">
        <f>IF($B$93="Select","",IFERROR(VLOOKUP($B$93,_Lookups!$AA$2:$AI$15,8,FALSE()),""))</f>
        <v/>
      </c>
      <c r="C99" s="39">
        <f>IFERROR(B83,"")</f>
        <v/>
      </c>
      <c r="D99" s="34">
        <f>IF(OR(B102="",C102=""),"",B102-C102)</f>
        <v/>
      </c>
      <c r="E99" s="34">
        <f>IF(OR(D102="",D102=0),"",IF(D102&gt;0,"Add",IF(D102&lt;-5,"Dilute/RO","OK")))</f>
        <v/>
      </c>
    </row>
    <row r="100" ht="15" customHeight="1">
      <c r="A100" t="inlineStr">
        <is>
          <t>Chloride</t>
        </is>
      </c>
      <c r="B100" s="34">
        <f>IF($B$93="Select","",IFERROR(VLOOKUP($B$93,_Lookups!$AA$2:$AI$15,6,FALSE()),""))</f>
        <v/>
      </c>
      <c r="C100" s="39">
        <f>IFERROR(B84,"")</f>
        <v/>
      </c>
      <c r="D100" s="34">
        <f>IF(OR(B100="",C100=""),"",B100-C100)</f>
        <v/>
      </c>
      <c r="E100" s="34">
        <f>IF(OR(D100="",D100=0),"",IF(D100&gt;0,"Add",IF(D100&lt;-5,"Dilute/RO","OK")))</f>
        <v/>
      </c>
    </row>
    <row r="101" ht="15" customHeight="1">
      <c r="A101" t="inlineStr">
        <is>
          <t>Sulfate</t>
        </is>
      </c>
      <c r="B101" s="34">
        <f>IF($B$93="Select","",IFERROR(VLOOKUP($B$93,_Lookups!$AA$2:$AI$15,7,FALSE()),""))</f>
        <v/>
      </c>
      <c r="C101" s="39">
        <f>IFERROR(B85,"")</f>
        <v/>
      </c>
      <c r="D101" s="34">
        <f>IF(OR(B101="",C101=""),"",B101-C101)</f>
        <v/>
      </c>
      <c r="E101" s="34">
        <f>IF(OR(D101="",D101=0),"",IF(D101&gt;0,"Add",IF(D101&lt;-5,"Dilute/RO","OK")))</f>
        <v/>
      </c>
    </row>
    <row r="102" ht="15" customHeight="1">
      <c r="A102" t="inlineStr">
        <is>
          <t>Phosphate</t>
        </is>
      </c>
      <c r="B102" s="34">
        <f>IF($B$93="Select","",IFERROR(VLOOKUP($B$93,_Lookups!$AA$2:$AI$15,5,FALSE()),""))</f>
        <v/>
      </c>
      <c r="C102" s="39">
        <f>IFERROR(B86,"")</f>
        <v/>
      </c>
      <c r="D102" s="34">
        <f>IF(OR(B99="",C99=""),"",B99-C99)</f>
        <v/>
      </c>
      <c r="E102" s="34">
        <f>IF(OR(D99="",D99=0),"",IF(D99&gt;0,"Add",IF(D99&lt;-5,"Dilute/RO","OK")))</f>
        <v/>
      </c>
    </row>
    <row r="103" ht="15" customHeight="1">
      <c r="A103" t="inlineStr">
        <is>
          <t>Hardness</t>
        </is>
      </c>
      <c r="B103" s="34">
        <f>IF($B$93="Select","",IFERROR(VLOOKUP($B$93,_Lookups!$AA$2:$AI$15,9,FALSE()),""))</f>
        <v/>
      </c>
      <c r="C103" s="39">
        <f>IFERROR(B90,"")</f>
        <v/>
      </c>
      <c r="D103" s="34">
        <f>IF(OR(B103="",C103=""),"",B103-C103)</f>
        <v/>
      </c>
      <c r="E103" s="34">
        <f>IF(OR(D103="",D103=0),"",IF(D103&gt;0,"Add",IF(D103&lt;-5,"Dilute/RO","OK")))</f>
        <v/>
      </c>
    </row>
    <row r="105" ht="15" customHeight="1">
      <c r="A105" s="163" t="inlineStr">
        <is>
          <t>WATER ADJUSTMENT GUIDANCE</t>
        </is>
      </c>
    </row>
    <row r="106" ht="15" customHeight="1">
      <c r="A106" s="5" t="inlineStr">
        <is>
          <t>RO/Dilution needed?</t>
        </is>
      </c>
      <c r="B106" s="14">
        <f>IFERROR(IF(OR(C96&gt;B96+10,C97&gt;B97+5,C102&gt;50,C103&gt;B103+50),"YES - source too hard","No"),"")</f>
        <v/>
      </c>
      <c r="C106" s="5" t="n"/>
      <c r="D106" s="5" t="n"/>
      <c r="E106" s="5" t="n"/>
      <c r="F106" s="5" t="n"/>
    </row>
    <row r="107" ht="15" customHeight="1">
      <c r="A107" s="5" t="inlineStr">
        <is>
          <t>Suggested blend</t>
        </is>
      </c>
      <c r="B107" s="14">
        <f>IFERROR(IF(B106="No","Use tap water as-is",IF(AND(C103&gt;0,B103&gt;0),IF(B103&gt;=C103,"100% tap (add minerals if needed)",TEXT(ROUND(B103/C103*100,0),"0")&amp;"% tap + "&amp;TEXT(100-ROUND(B103/C103*100,0),"0")&amp;"% RO"),"")),"")</f>
        <v/>
      </c>
      <c r="C107" s="5" t="n"/>
      <c r="D107" s="5" t="n"/>
      <c r="E107" s="5" t="n"/>
      <c r="F107" s="5" t="n"/>
    </row>
    <row r="108" ht="15" customHeight="1">
      <c r="A108" s="5" t="n"/>
      <c r="B108" s="5" t="n"/>
      <c r="C108" s="5" t="n"/>
      <c r="D108" s="5" t="n"/>
      <c r="E108" s="5" t="n"/>
      <c r="F108" s="5" t="n"/>
    </row>
    <row r="109" ht="15" customHeight="1">
      <c r="A109" s="163" t="inlineStr">
        <is>
          <t>WATER VOLUMES</t>
        </is>
      </c>
    </row>
    <row r="110" ht="15" customHeight="1">
      <c r="A110" s="5" t="inlineStr">
        <is>
          <t>Total recipe water (L)</t>
        </is>
      </c>
      <c r="B110" s="79">
        <f>IFERROR(_Allocations!D9,"")</f>
        <v/>
      </c>
      <c r="C110" s="5" t="n"/>
      <c r="D110" s="5" t="n"/>
      <c r="E110" s="5" t="n"/>
      <c r="F110" s="5" t="n"/>
    </row>
    <row r="111" ht="15" customHeight="1">
      <c r="A111" s="5" t="inlineStr">
        <is>
          <t>Moto water only (L)</t>
        </is>
      </c>
      <c r="B111" s="79">
        <f>IFERROR(_Allocations!D11,"")</f>
        <v/>
      </c>
      <c r="C111" s="5" t="n"/>
      <c r="D111" s="5" t="n"/>
      <c r="E111" s="5" t="n"/>
      <c r="F111" s="5" t="n"/>
    </row>
    <row r="112" ht="15" customHeight="1">
      <c r="A112" s="5" t="inlineStr">
        <is>
          <t>Apply additions to</t>
        </is>
      </c>
      <c r="B112" s="80" t="inlineStr">
        <is>
          <t>Select ▽</t>
        </is>
      </c>
      <c r="C112" s="5" t="n"/>
      <c r="D112" s="5" t="n"/>
      <c r="E112" s="5" t="n"/>
      <c r="F112" s="5" t="n"/>
    </row>
    <row r="113" ht="15" customHeight="1">
      <c r="A113" s="5" t="inlineStr">
        <is>
          <t>Volume for additions (L)</t>
        </is>
      </c>
      <c r="B113" s="79">
        <f>IF(B112="Moto only",B111,B110)</f>
        <v/>
      </c>
      <c r="C113" s="5" t="n"/>
      <c r="D113" s="5" t="n"/>
      <c r="E113" s="5" t="n"/>
      <c r="F113" s="5" t="n"/>
    </row>
    <row r="114" ht="15" customHeight="1">
      <c r="A114" s="5" t="n"/>
      <c r="B114" s="81" t="n"/>
      <c r="C114" s="5" t="n"/>
      <c r="D114" s="5" t="n"/>
      <c r="E114" s="5" t="n"/>
      <c r="F114" s="5" t="n"/>
    </row>
    <row r="115" ht="15" customHeight="1">
      <c r="A115" s="21" t="inlineStr">
        <is>
          <t>SALT ADDITIONS (in order)</t>
        </is>
      </c>
      <c r="B115" s="78" t="n"/>
      <c r="C115" s="9" t="n"/>
      <c r="D115" s="9" t="n"/>
      <c r="E115" s="9" t="n"/>
      <c r="F115" s="9" t="n"/>
    </row>
    <row r="116" ht="15" customHeight="1">
      <c r="A116" s="15" t="inlineStr">
        <is>
          <t>Step</t>
        </is>
      </c>
      <c r="B116" s="82" t="inlineStr">
        <is>
          <t>Salt</t>
        </is>
      </c>
      <c r="C116" s="15" t="inlineStr">
        <is>
          <t>Total (g)</t>
        </is>
      </c>
      <c r="D116" s="15" t="inlineStr">
        <is>
          <t>Brand</t>
        </is>
      </c>
      <c r="E116" s="15" t="inlineStr">
        <is>
          <t>Notes</t>
        </is>
      </c>
      <c r="F116" s="5" t="n"/>
    </row>
    <row r="117" ht="15" customHeight="1">
      <c r="A117" s="5" t="inlineStr">
        <is>
          <t>1</t>
        </is>
      </c>
      <c r="B117" s="81" t="inlineStr">
        <is>
          <t>KH₂PO₄ (phosphate)</t>
        </is>
      </c>
      <c r="C117" s="14">
        <f>IFERROR(IF(OR(D99="",D99&lt;=0),0,ROUND(D99/697.6*B113,2)),0)</f>
        <v/>
      </c>
      <c r="D117" s="5" t="inlineStr">
        <is>
          <t>Now Foods</t>
        </is>
      </c>
      <c r="E117" s="5" t="inlineStr">
        <is>
          <t>Add first - buffers pH</t>
        </is>
      </c>
      <c r="F117" s="5" t="n"/>
    </row>
    <row r="118" ht="15" customHeight="1">
      <c r="A118" s="5" t="inlineStr">
        <is>
          <t>2</t>
        </is>
      </c>
      <c r="B118" s="5" t="inlineStr">
        <is>
          <t>Gypsum (CaSO₄)</t>
        </is>
      </c>
      <c r="C118" s="14">
        <f>IFERROR(IF(OR(D96="",D96&lt;=0),0,ROUND(D96/232.4*B113,2)),0)</f>
        <v/>
      </c>
      <c r="D118" s="5" t="inlineStr">
        <is>
          <t>LD Carlson</t>
        </is>
      </c>
      <c r="E118" s="5" t="inlineStr">
        <is>
          <t>Stir until dissolved</t>
        </is>
      </c>
      <c r="F118" s="5" t="n"/>
    </row>
    <row r="119" ht="15" customHeight="1">
      <c r="A119" s="5" t="inlineStr">
        <is>
          <t>3</t>
        </is>
      </c>
      <c r="B119" s="5" t="inlineStr">
        <is>
          <t>CaCl₂ (if more Ca needed)</t>
        </is>
      </c>
      <c r="C119" s="14">
        <f>IFERROR(IF(OR(D96="",D96&lt;=0),0,MAX(0,ROUND((D96-C118/B113*232.4)/272.2*B113,2))),0)</f>
        <v/>
      </c>
      <c r="D119" s="5" t="inlineStr">
        <is>
          <t>DowFlake</t>
        </is>
      </c>
      <c r="E119" s="5" t="inlineStr">
        <is>
          <t>Optional - skip if gypsum enough</t>
        </is>
      </c>
      <c r="F119" s="5" t="n"/>
    </row>
    <row r="120" ht="15" customHeight="1">
      <c r="A120" s="5" t="inlineStr">
        <is>
          <t>4</t>
        </is>
      </c>
      <c r="B120" s="5" t="inlineStr">
        <is>
          <t>Epsom salt (MgSO₄)</t>
        </is>
      </c>
      <c r="C120" s="14">
        <f>IFERROR(IF(OR(D97="",D97&lt;=0),0,ROUND(D97/98.8*B113,2)),0)</f>
        <v/>
      </c>
      <c r="D120" s="5" t="inlineStr">
        <is>
          <t>Food grade</t>
        </is>
      </c>
      <c r="E120" s="5" t="inlineStr">
        <is>
          <t>Dissolves easily</t>
        </is>
      </c>
      <c r="F120" s="5" t="n"/>
    </row>
    <row r="121" ht="15" customHeight="1">
      <c r="A121" s="5" t="inlineStr">
        <is>
          <t>5</t>
        </is>
      </c>
      <c r="B121" s="5" t="inlineStr">
        <is>
          <t>KCl (potassium)</t>
        </is>
      </c>
      <c r="C121" s="14">
        <f>IFERROR(IF(OR(D98="",D98&lt;=0),0,MAX(0,ROUND((D98-C117/B113*287.3)/524.3*B113,2))),0)</f>
        <v/>
      </c>
      <c r="D121" s="5" t="inlineStr">
        <is>
          <t>Morton Salt Sub</t>
        </is>
      </c>
      <c r="E121" s="5" t="inlineStr">
        <is>
          <t>Add last</t>
        </is>
      </c>
      <c r="F121" s="5" t="n"/>
    </row>
    <row r="122" ht="15" customHeight="1">
      <c r="A122" s="5" t="n"/>
      <c r="B122" s="5" t="n"/>
      <c r="C122" s="5" t="n"/>
      <c r="D122" s="5" t="n"/>
      <c r="E122" s="5" t="n"/>
      <c r="F122" s="5" t="n"/>
    </row>
    <row r="123" ht="15" customHeight="1">
      <c r="A123" s="15" t="inlineStr">
        <is>
          <t>ADDITION TIPS</t>
        </is>
      </c>
      <c r="B123" s="5" t="n"/>
      <c r="C123" s="5" t="n"/>
      <c r="D123" s="5" t="n"/>
      <c r="E123" s="5" t="n"/>
      <c r="F123" s="5" t="n"/>
    </row>
    <row r="124" ht="15" customHeight="1">
      <c r="A124" s="5" t="inlineStr">
        <is>
          <t>1. Warm water (40°C) helps dissolve salts</t>
        </is>
      </c>
      <c r="B124" s="5" t="n"/>
      <c r="C124" s="5" t="n"/>
      <c r="D124" s="5" t="n"/>
      <c r="E124" s="5" t="n"/>
      <c r="F124" s="5" t="n"/>
    </row>
    <row r="125" ht="15" customHeight="1">
      <c r="A125" s="5" t="inlineStr">
        <is>
          <t>2. Add salts one at a time, stir completely</t>
        </is>
      </c>
      <c r="B125" s="5" t="n"/>
      <c r="C125" s="5" t="n"/>
      <c r="D125" s="5" t="n"/>
      <c r="E125" s="5" t="n"/>
      <c r="F125" s="5" t="n"/>
    </row>
    <row r="126" ht="15" customHeight="1">
      <c r="A126" t="inlineStr">
        <is>
          <t>3. Let water rest 30 min before brewing</t>
        </is>
      </c>
    </row>
    <row r="127" ht="15" customHeight="1">
      <c r="A127" t="inlineStr">
        <is>
          <t>4. If using RO blend, mix waters first</t>
        </is>
      </c>
    </row>
    <row r="128" ht="15" customHeight="1">
      <c r="A128" t="inlineStr">
        <is>
          <t>Note: Na (sodium) not added - avoid salty sake</t>
        </is>
      </c>
    </row>
  </sheetData>
  <mergeCells count="13">
    <mergeCell ref="A66:G66"/>
    <mergeCell ref="A58:G58"/>
    <mergeCell ref="A9:G9"/>
    <mergeCell ref="A3:G3"/>
    <mergeCell ref="A53:G53"/>
    <mergeCell ref="A109:G109"/>
    <mergeCell ref="A105:G105"/>
    <mergeCell ref="A77:G77"/>
    <mergeCell ref="A26:G26"/>
    <mergeCell ref="A38:G38"/>
    <mergeCell ref="A16:G16"/>
    <mergeCell ref="A92:G92"/>
    <mergeCell ref="A46:G46"/>
  </mergeCells>
  <conditionalFormatting sqref="D18:D24">
    <cfRule type="expression" priority="2" dxfId="0">
      <formula>AND(D18&lt;&gt;"",D18&lt;&gt;"Select",D18=B18)</formula>
    </cfRule>
  </conditionalFormatting>
  <dataValidations count="10">
    <dataValidation sqref="B18:B24 D18:D24" showDropDown="0" showInputMessage="0" showErrorMessage="0" allowBlank="1" type="list">
      <formula1>"Select,Lot A,Lot B,Lot C,Lot D"</formula1>
    </dataValidation>
    <dataValidation sqref="B112" showDropDown="0" showInputMessage="0" showErrorMessage="0" allowBlank="1" type="list">
      <formula1>"Total water,Moto only"</formula1>
    </dataValidation>
    <dataValidation sqref="B7" showDropDown="0" showInputMessage="0" showErrorMessage="0" allowBlank="1" type="list">
      <formula1>_Lookups!$B$2:$B$35</formula1>
    </dataValidation>
    <dataValidation sqref="B8" showDropDown="0" showInputMessage="0" showErrorMessage="0" allowBlank="1" type="list">
      <formula1>_Lookups!$I$2:$I$8</formula1>
    </dataValidation>
    <dataValidation sqref="B11 B12 B13 B14" showDropDown="0" showInputMessage="0" showErrorMessage="0" allowBlank="1" type="list">
      <formula1>_Lookups!$M$2:$M$48</formula1>
    </dataValidation>
    <dataValidation sqref="B36" showDropDown="0" showInputMessage="0" showErrorMessage="0" allowBlank="1" type="list">
      <formula1>_Lookups!$CH$2:$CH$8</formula1>
    </dataValidation>
    <dataValidation sqref="B93" showDropDown="0" showInputMessage="0" showErrorMessage="0" allowBlank="1" type="list">
      <formula1>_Lookups!$AA$2:$AA$12</formula1>
    </dataValidation>
    <dataValidation sqref="B79" showDropDown="0" showInputMessage="0" showErrorMessage="0" allowBlank="1" type="list">
      <formula1>_Lookups!$AK$2:$AK$29</formula1>
    </dataValidation>
    <dataValidation sqref="B18 B19 B20 B21 B22 B23 B24" showDropDown="0" showInputMessage="0" showErrorMessage="0" allowBlank="0" errorTitle="Invalid Lot" error="Please select a lot" type="list">
      <formula1>"Lot A,Lot B,Lot C,Lot D"</formula1>
    </dataValidation>
    <dataValidation sqref="B5" showDropDown="0" showInputMessage="0" showErrorMessage="0" allowBlank="0" type="list">
      <formula1>_Presets!$A$2:$A$50</formula1>
    </dataValidation>
  </dataValidations>
  <pageMargins left="0.75" right="0.75" top="1" bottom="1" header="0.511811023622047" footer="0.511811023622047"/>
  <pageSetup orientation="portrait" paperSize="9" horizontalDpi="300" verticalDpi="30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41"/>
  <sheetViews>
    <sheetView topLeftCell="A47" zoomScale="120" zoomScaleNormal="120" workbookViewId="0">
      <selection activeCell="A1" sqref="A1"/>
    </sheetView>
  </sheetViews>
  <sheetFormatPr baseColWidth="10" defaultColWidth="8.6640625" defaultRowHeight="15"/>
  <cols>
    <col width="24" customWidth="1" min="1" max="1"/>
    <col width="16" customWidth="1" min="2" max="6"/>
    <col width="14" customWidth="1" min="7" max="8"/>
  </cols>
  <sheetData>
    <row r="1" ht="17.25" customHeight="1">
      <c r="A1" s="83" t="inlineStr">
        <is>
          <t>Brewing Plan</t>
        </is>
      </c>
      <c r="B1" s="5" t="n"/>
      <c r="C1" s="5" t="n"/>
      <c r="D1" s="5" t="n"/>
      <c r="E1" s="5" t="n"/>
      <c r="F1" s="5" t="n"/>
      <c r="G1" s="5">
        <f>Recipe!F1</f>
        <v/>
      </c>
      <c r="H1" s="5" t="n"/>
      <c r="I1" s="5" t="n"/>
    </row>
    <row r="2" ht="15" customHeight="1">
      <c r="A2" s="5" t="n"/>
      <c r="B2" s="5" t="n"/>
      <c r="C2" s="5" t="n"/>
      <c r="D2" s="5" t="n"/>
      <c r="E2" s="5" t="n"/>
      <c r="F2" s="5" t="n"/>
      <c r="G2" s="5" t="n"/>
      <c r="H2" s="5" t="n"/>
      <c r="I2" s="5" t="n"/>
    </row>
    <row r="3" ht="15" customHeight="1">
      <c r="A3" s="163" t="inlineStr">
        <is>
          <t>KOJI PLAN</t>
        </is>
      </c>
      <c r="H3" s="5" t="n"/>
      <c r="I3" s="5" t="n"/>
    </row>
    <row r="4" ht="15" customHeight="1">
      <c r="A4" s="5" t="inlineStr">
        <is>
          <t>Koji method</t>
        </is>
      </c>
      <c r="B4" s="258" t="inlineStr">
        <is>
          <t>Select ▽</t>
        </is>
      </c>
      <c r="C4" s="5" t="n"/>
      <c r="D4" s="5" t="n"/>
      <c r="E4" s="5" t="n"/>
      <c r="F4" s="5" t="n"/>
      <c r="G4" s="5" t="n"/>
      <c r="H4" s="5" t="n"/>
      <c r="I4" s="5" t="n"/>
    </row>
    <row r="5" ht="15" customHeight="1">
      <c r="A5" s="5" t="inlineStr">
        <is>
          <t>Koji style (haze)</t>
        </is>
      </c>
      <c r="B5" s="84">
        <f>IFERROR(IF(Recipe!B8="Select ▽","→ See Recipe",Recipe!B8),"")</f>
        <v/>
      </c>
      <c r="C5" s="5" t="n"/>
      <c r="D5" s="5" t="n"/>
      <c r="E5" s="5" t="n"/>
      <c r="F5" s="5" t="n"/>
      <c r="G5" s="5" t="n"/>
      <c r="H5" s="5" t="n"/>
      <c r="I5" s="5" t="n"/>
    </row>
    <row r="6" ht="15" customHeight="1">
      <c r="A6" t="inlineStr">
        <is>
          <t>Koji rice lot</t>
        </is>
      </c>
      <c r="B6" s="168" t="inlineStr">
        <is>
          <t>Select ▽</t>
        </is>
      </c>
    </row>
    <row r="7" ht="15" customHeight="1">
      <c r="A7" t="inlineStr">
        <is>
          <t>Polish ratio</t>
        </is>
      </c>
      <c r="B7" s="171">
        <f>IFERROR(IF(B6="Lot A",IF(Recipe!C11="","→ See Recipe",Recipe!C11),IF(B6="Lot B",IF(Recipe!C12="","→ See Recipe",Recipe!C12),IF(B6="Lot C",IF(Recipe!C13="","→ See Recipe",Recipe!C13),IF(B6="Lot D",IF(Recipe!C14="","→ See Recipe",Recipe!C14),"→ Select lot")))),"→ See Recipe")</f>
        <v/>
      </c>
      <c r="C7" t="inlineStr">
        <is>
          <t>%</t>
        </is>
      </c>
    </row>
    <row r="8" ht="15" customHeight="1">
      <c r="A8" t="inlineStr">
        <is>
          <t>Time adjustment</t>
        </is>
      </c>
      <c r="B8" s="171">
        <f>IFERROR(IF(OR(B7="→ See Recipe",B7="→ Select lot"),"",ROUND((70-B7)*0.2,1)),"")</f>
        <v/>
      </c>
      <c r="C8" t="inlineStr">
        <is>
          <t>hours</t>
        </is>
      </c>
    </row>
    <row r="9" ht="15" customHeight="1">
      <c r="A9" s="5" t="inlineStr">
        <is>
          <t>Batch start</t>
        </is>
      </c>
      <c r="B9" s="259" t="n"/>
      <c r="C9" s="5" t="n"/>
      <c r="D9" s="5" t="n"/>
      <c r="E9" s="5" t="n"/>
      <c r="F9" s="5" t="n"/>
      <c r="G9" s="5" t="n"/>
      <c r="H9" s="5" t="n"/>
      <c r="I9" s="5" t="n"/>
    </row>
    <row r="10" ht="15" customHeight="1">
      <c r="A10" s="5" t="inlineStr">
        <is>
          <t>Elapsed hours</t>
        </is>
      </c>
      <c r="B10" s="86">
        <f>IFERROR(IF(OR(B9="",ISBLANK(B9)),"",(NOW()-B9)*24),"")</f>
        <v/>
      </c>
      <c r="C10" s="5" t="inlineStr">
        <is>
          <t>hours</t>
        </is>
      </c>
      <c r="D10" s="5" t="n"/>
      <c r="E10" s="5" t="n"/>
      <c r="F10" s="5" t="n"/>
      <c r="G10" s="5" t="n"/>
      <c r="H10" s="5" t="n"/>
      <c r="I10" s="5" t="n"/>
    </row>
    <row r="11" ht="15" customHeight="1">
      <c r="A11" s="5" t="n"/>
      <c r="B11" s="5" t="n"/>
      <c r="C11" s="5" t="n"/>
      <c r="D11" s="5" t="n"/>
      <c r="E11" s="5" t="n"/>
      <c r="F11" s="5" t="n"/>
      <c r="G11" s="5" t="n"/>
      <c r="H11" s="5" t="n"/>
      <c r="I11" s="5" t="n"/>
    </row>
    <row r="12" ht="15" customHeight="1">
      <c r="A12" s="163" t="inlineStr">
        <is>
          <t>KOJI WEIGHT PROGRESSION</t>
        </is>
      </c>
      <c r="H12" s="5" t="n"/>
      <c r="I12" s="5" t="n"/>
    </row>
    <row r="13" ht="15" customHeight="1">
      <c r="A13" s="5" t="inlineStr">
        <is>
          <t>Dry rice for koji</t>
        </is>
      </c>
      <c r="B13" s="87" t="inlineStr">
        <is>
          <t>1.00×</t>
        </is>
      </c>
      <c r="C13" s="5" t="n"/>
      <c r="D13" s="5" t="n"/>
      <c r="E13" s="5" t="n"/>
      <c r="F13" s="5" t="n"/>
      <c r="G13" s="5" t="n"/>
      <c r="H13" s="5" t="n"/>
      <c r="I13" s="5" t="n"/>
    </row>
    <row r="14" ht="15" customHeight="1">
      <c r="A14" s="5" t="inlineStr">
        <is>
          <t>After soaking</t>
        </is>
      </c>
      <c r="B14" s="87" t="inlineStr">
        <is>
          <t>1.30×</t>
        </is>
      </c>
      <c r="C14" s="5" t="n"/>
      <c r="D14" s="5" t="n"/>
      <c r="E14" s="5" t="n"/>
      <c r="F14" s="5" t="n"/>
      <c r="G14" s="5" t="n"/>
      <c r="H14" s="5" t="n"/>
      <c r="I14" s="5" t="n"/>
    </row>
    <row r="15" ht="15" customHeight="1">
      <c r="A15" s="5" t="inlineStr">
        <is>
          <t>After steaming</t>
        </is>
      </c>
      <c r="B15" s="87" t="inlineStr">
        <is>
          <t>1.40×</t>
        </is>
      </c>
      <c r="C15" s="5" t="n"/>
      <c r="D15" s="5" t="n"/>
      <c r="E15" s="5" t="n"/>
      <c r="F15" s="5" t="n"/>
      <c r="G15" s="5" t="n"/>
      <c r="H15" s="5" t="n"/>
      <c r="I15" s="5" t="n"/>
    </row>
    <row r="16" ht="15" customHeight="1">
      <c r="A16" s="5" t="inlineStr">
        <is>
          <t>After hiki-komi</t>
        </is>
      </c>
      <c r="B16" s="87">
        <f>IF(OR($B$4="Ueda (Tarai)",$B$4="Ueda Fast"),"1.19× (dried)","1.40×")</f>
        <v/>
      </c>
      <c r="C16" s="14" t="n"/>
      <c r="D16" s="5" t="n"/>
      <c r="E16" s="5" t="n"/>
      <c r="F16" s="5" t="n"/>
      <c r="G16" s="5" t="n"/>
      <c r="H16" s="5" t="n"/>
      <c r="I16" s="5" t="n"/>
    </row>
    <row r="17" ht="15" customHeight="1">
      <c r="A17" s="5" t="inlineStr">
        <is>
          <t>After inoculation</t>
        </is>
      </c>
      <c r="B17" s="87" t="inlineStr">
        <is>
          <t>≈ same</t>
        </is>
      </c>
      <c r="C17" s="5" t="n"/>
      <c r="D17" s="5" t="n"/>
      <c r="E17" s="5" t="n"/>
      <c r="F17" s="5" t="n"/>
      <c r="G17" s="5" t="n"/>
      <c r="H17" s="5" t="n"/>
      <c r="I17" s="5" t="n"/>
    </row>
    <row r="18" ht="15" customHeight="1">
      <c r="A18" s="5" t="inlineStr">
        <is>
          <t>Finished koji (dekoji)</t>
        </is>
      </c>
      <c r="B18" s="87" t="inlineStr">
        <is>
          <t>1.15×</t>
        </is>
      </c>
      <c r="C18" s="15" t="n"/>
      <c r="D18" s="5" t="n"/>
      <c r="E18" s="5" t="n"/>
      <c r="F18" s="5" t="n"/>
      <c r="G18" s="5" t="n"/>
      <c r="H18" s="5" t="n"/>
      <c r="I18" s="5" t="n"/>
    </row>
    <row r="19" ht="15" customHeight="1">
      <c r="A19" s="5" t="n"/>
      <c r="B19" s="5" t="n"/>
      <c r="C19" s="5" t="n"/>
      <c r="D19" s="5" t="n"/>
      <c r="E19" s="5" t="n"/>
      <c r="F19" s="5" t="n"/>
      <c r="G19" s="5" t="n"/>
      <c r="H19" s="5" t="n"/>
      <c r="I19" s="5" t="n"/>
    </row>
    <row r="20" ht="15" customHeight="1">
      <c r="A20" s="163" t="inlineStr">
        <is>
          <t>KOJI WORKFLOW</t>
        </is>
      </c>
      <c r="H20" s="5" t="n"/>
      <c r="I20" s="5" t="n"/>
    </row>
    <row r="21" ht="15" customHeight="1">
      <c r="A21" s="154" t="inlineStr">
        <is>
          <t>Step</t>
        </is>
      </c>
      <c r="B21" s="154" t="inlineStr">
        <is>
          <t>Time</t>
        </is>
      </c>
      <c r="C21" s="154" t="inlineStr">
        <is>
          <t>Temp</t>
        </is>
      </c>
      <c r="D21" s="154" t="inlineStr">
        <is>
          <t>Target</t>
        </is>
      </c>
      <c r="E21" s="154" t="inlineStr">
        <is>
          <t>Weight</t>
        </is>
      </c>
      <c r="F21" s="154" t="inlineStr">
        <is>
          <t>Scheduled</t>
        </is>
      </c>
      <c r="G21" s="154" t="n"/>
      <c r="H21" s="161" t="n"/>
      <c r="I21" s="5" t="n"/>
    </row>
    <row r="22" ht="15" customHeight="1">
      <c r="A22" s="14">
        <f>IFERROR(IF(VLOOKUP($B$4,_Lookups!$CB:$CG,2,FALSE())="","",INDIRECT("_Lookups!"&amp;ADDRESS(1+1,VLOOKUP($B$4,_Lookups!$CB:$CG,2,FALSE())))),"")</f>
        <v/>
      </c>
      <c r="B22" s="88">
        <f>IFERROR(IF(VLOOKUP($B$4,_Lookups!$CB:$CG,3,FALSE())="","",IF(INDIRECT("_Lookups!"&amp;ADDRESS(1+1,VLOOKUP($B$4,_Lookups!$CB:$CG,3,FALSE())))="","",IF(INDIRECT("_Lookups!"&amp;ADDRESS(1+1,VLOOKUP($B$4,_Lookups!$CB:$CG,3,FALSE())))&lt;0,INDIRECT("_Lookups!"&amp;ADDRESS(1+1,VLOOKUP($B$4,_Lookups!$CB:$CG,3,FALSE())))&amp;" h","+"&amp;INDIRECT("_Lookups!"&amp;ADDRESS(1+1,VLOOKUP($B$4,_Lookups!$CB:$CG,3,FALSE())))&amp;" h"))),"")</f>
        <v/>
      </c>
      <c r="C22" s="88">
        <f>IFERROR(IF(VLOOKUP($B$4,_Lookups!$CB:$CG,4,FALSE())="","",INDIRECT("_Lookups!"&amp;ADDRESS(1+1,VLOOKUP($B$4,_Lookups!$CB:$CG,4,FALSE())))),"")</f>
        <v/>
      </c>
      <c r="D22" s="86">
        <f>IFERROR(IF(VLOOKUP($B$4,_Lookups!$CB:$CG,5,FALSE())="","",INDIRECT("_Lookups!"&amp;ADDRESS(1+1,VLOOKUP($B$4,_Lookups!$CB:$CG,5,FALSE())))),"")</f>
        <v/>
      </c>
      <c r="E22" s="14">
        <f>IFERROR(IF(A19="","",IF(ISNUMBER(SEARCH("Soak",A19)),TEXT($B$11,"0.00")&amp;" kg",IF(ISNUMBER(SEARCH("Steam",A19)),TEXT($B$12,"0.00")&amp;" kg",IF(ISNUMBER(SEARCH("DRY DOWN",A19)),TEXT($B$13,"0.00")&amp;" kg",IF(ISNUMBER(SEARCH("Dekoji",A19)),TEXT($B$15,"0.00")&amp;" kg",""))))),"")</f>
        <v/>
      </c>
      <c r="F22" s="257">
        <f>IFERROR(IF(OR(A19="",$B$9=""),"",IF(LEFT(B19,1)="+",$B$9+VALUE(SUBSTITUTE(B19," h",""))/24,IF(LEFT(B19,1)="-",$B$9+VALUE(SUBSTITUTE(B19," h",""))/24,$B$9))),"")</f>
        <v/>
      </c>
      <c r="G22" s="260" t="n"/>
      <c r="H22" s="5" t="n"/>
      <c r="I22" s="5" t="n"/>
    </row>
    <row r="23" ht="15" customHeight="1">
      <c r="A23" s="14">
        <f>IFERROR(IF(VLOOKUP($B$4,_Lookups!$CB:$CG,2,FALSE())="","",INDIRECT("_Lookups!"&amp;ADDRESS(2+1,VLOOKUP($B$4,_Lookups!$CB:$CG,2,FALSE())))),"")</f>
        <v/>
      </c>
      <c r="B23" s="88">
        <f>IFERROR(IF(VLOOKUP($B$4,_Lookups!$CB:$CG,3,FALSE())="","",IF(INDIRECT("_Lookups!"&amp;ADDRESS(2+1,VLOOKUP($B$4,_Lookups!$CB:$CG,3,FALSE())))="","",IF(INDIRECT("_Lookups!"&amp;ADDRESS(2+1,VLOOKUP($B$4,_Lookups!$CB:$CG,3,FALSE())))&lt;0,INDIRECT("_Lookups!"&amp;ADDRESS(2+1,VLOOKUP($B$4,_Lookups!$CB:$CG,3,FALSE())))&amp;" h","+"&amp;INDIRECT("_Lookups!"&amp;ADDRESS(2+1,VLOOKUP($B$4,_Lookups!$CB:$CG,3,FALSE())))&amp;" h"))),"")</f>
        <v/>
      </c>
      <c r="C23" s="88">
        <f>IFERROR(IF(VLOOKUP($B$4,_Lookups!$CB:$CG,4,FALSE())="","",INDIRECT("_Lookups!"&amp;ADDRESS(2+1,VLOOKUP($B$4,_Lookups!$CB:$CG,4,FALSE())))),"")</f>
        <v/>
      </c>
      <c r="D23" s="86">
        <f>IFERROR(IF(VLOOKUP($B$4,_Lookups!$CB:$CG,5,FALSE())="","",INDIRECT("_Lookups!"&amp;ADDRESS(2+1,VLOOKUP($B$4,_Lookups!$CB:$CG,5,FALSE())))),"")</f>
        <v/>
      </c>
      <c r="E23" s="14">
        <f>IFERROR(IF(A20="","",IF(ISNUMBER(SEARCH("Soak",A20)),TEXT($B$11,"0.00")&amp;" kg",IF(ISNUMBER(SEARCH("Steam",A20)),TEXT($B$12,"0.00")&amp;" kg",IF(ISNUMBER(SEARCH("DRY DOWN",A20)),TEXT($B$13,"0.00")&amp;" kg",IF(ISNUMBER(SEARCH("Dekoji",A20)),TEXT($B$15,"0.00")&amp;" kg",""))))),"")</f>
        <v/>
      </c>
      <c r="F23" s="257">
        <f>IFERROR(IF(OR(A20="",$B$9=""),"",IF(LEFT(B20,1)="+",$B$9+VALUE(SUBSTITUTE(B20," h",""))/24,IF(LEFT(B20,1)="-",$B$9+VALUE(SUBSTITUTE(B20," h",""))/24,$B$9))),"")</f>
        <v/>
      </c>
      <c r="G23" s="260" t="n"/>
      <c r="H23" s="5" t="n"/>
      <c r="I23" s="5" t="n"/>
    </row>
    <row r="24" ht="15" customHeight="1">
      <c r="A24" s="14">
        <f>IFERROR(IF(VLOOKUP($B$4,_Lookups!$CB:$CG,2,FALSE())="","",INDIRECT("_Lookups!"&amp;ADDRESS(3+1,VLOOKUP($B$4,_Lookups!$CB:$CG,2,FALSE())))),"")</f>
        <v/>
      </c>
      <c r="B24" s="88">
        <f>IFERROR(IF(VLOOKUP($B$4,_Lookups!$CB:$CG,3,FALSE())="","",IF(INDIRECT("_Lookups!"&amp;ADDRESS(3+1,VLOOKUP($B$4,_Lookups!$CB:$CG,3,FALSE())))="","",IF(INDIRECT("_Lookups!"&amp;ADDRESS(3+1,VLOOKUP($B$4,_Lookups!$CB:$CG,3,FALSE())))&lt;0,INDIRECT("_Lookups!"&amp;ADDRESS(3+1,VLOOKUP($B$4,_Lookups!$CB:$CG,3,FALSE())))&amp;" h","+"&amp;INDIRECT("_Lookups!"&amp;ADDRESS(3+1,VLOOKUP($B$4,_Lookups!$CB:$CG,3,FALSE())))&amp;" h"))),"")</f>
        <v/>
      </c>
      <c r="C24" s="88">
        <f>IFERROR(IF(VLOOKUP($B$4,_Lookups!$CB:$CG,4,FALSE())="","",INDIRECT("_Lookups!"&amp;ADDRESS(3+1,VLOOKUP($B$4,_Lookups!$CB:$CG,4,FALSE())))),"")</f>
        <v/>
      </c>
      <c r="D24" s="86">
        <f>IFERROR(IF(VLOOKUP($B$4,_Lookups!$CB:$CG,5,FALSE())="","",INDIRECT("_Lookups!"&amp;ADDRESS(3+1,VLOOKUP($B$4,_Lookups!$CB:$CG,5,FALSE())))),"")</f>
        <v/>
      </c>
      <c r="E24" s="14">
        <f>IFERROR(IF(A21="","",IF(ISNUMBER(SEARCH("Soak",A21)),TEXT($B$11,"0.00")&amp;" kg",IF(ISNUMBER(SEARCH("Steam",A21)),TEXT($B$12,"0.00")&amp;" kg",IF(ISNUMBER(SEARCH("DRY DOWN",A21)),TEXT($B$13,"0.00")&amp;" kg",IF(ISNUMBER(SEARCH("Dekoji",A21)),TEXT($B$15,"0.00")&amp;" kg",""))))),"")</f>
        <v/>
      </c>
      <c r="F24" s="257">
        <f>IFERROR(IF(OR(A21="",$B$9=""),"",IF(LEFT(B21,1)="+",$B$9+VALUE(SUBSTITUTE(B21," h",""))/24,IF(LEFT(B21,1)="-",$B$9+VALUE(SUBSTITUTE(B21," h",""))/24,$B$9))),"")</f>
        <v/>
      </c>
      <c r="G24" s="260" t="n"/>
      <c r="H24" s="5" t="n"/>
      <c r="I24" s="5" t="n"/>
    </row>
    <row r="25" ht="15" customHeight="1">
      <c r="A25" s="14">
        <f>IFERROR(IF(VLOOKUP($B$4,_Lookups!$CB:$CG,2,FALSE())="","",INDIRECT("_Lookups!"&amp;ADDRESS(4+1,VLOOKUP($B$4,_Lookups!$CB:$CG,2,FALSE())))),"")</f>
        <v/>
      </c>
      <c r="B25" s="88">
        <f>IFERROR(IF(VLOOKUP($B$4,_Lookups!$CB:$CG,3,FALSE())="","",IF(INDIRECT("_Lookups!"&amp;ADDRESS(4+1,VLOOKUP($B$4,_Lookups!$CB:$CG,3,FALSE())))="","",IF(INDIRECT("_Lookups!"&amp;ADDRESS(4+1,VLOOKUP($B$4,_Lookups!$CB:$CG,3,FALSE())))&lt;0,INDIRECT("_Lookups!"&amp;ADDRESS(4+1,VLOOKUP($B$4,_Lookups!$CB:$CG,3,FALSE())))&amp;" h","+"&amp;INDIRECT("_Lookups!"&amp;ADDRESS(4+1,VLOOKUP($B$4,_Lookups!$CB:$CG,3,FALSE())))&amp;" h"))),"")</f>
        <v/>
      </c>
      <c r="C25" s="88">
        <f>IFERROR(IF(VLOOKUP($B$4,_Lookups!$CB:$CG,4,FALSE())="","",INDIRECT("_Lookups!"&amp;ADDRESS(4+1,VLOOKUP($B$4,_Lookups!$CB:$CG,4,FALSE())))),"")</f>
        <v/>
      </c>
      <c r="D25" s="86">
        <f>IFERROR(IF(VLOOKUP($B$4,_Lookups!$CB:$CG,5,FALSE())="","",INDIRECT("_Lookups!"&amp;ADDRESS(4+1,VLOOKUP($B$4,_Lookups!$CB:$CG,5,FALSE())))),"")</f>
        <v/>
      </c>
      <c r="E25" s="14">
        <f>IFERROR(IF(A22="","",IF(ISNUMBER(SEARCH("Soak",A22)),TEXT($B$11,"0.00")&amp;" kg",IF(ISNUMBER(SEARCH("Steam",A22)),TEXT($B$12,"0.00")&amp;" kg",IF(ISNUMBER(SEARCH("DRY DOWN",A22)),TEXT($B$13,"0.00")&amp;" kg",IF(ISNUMBER(SEARCH("Dekoji",A22)),TEXT($B$15,"0.00")&amp;" kg",""))))),"")</f>
        <v/>
      </c>
      <c r="F25" s="257">
        <f>IFERROR(IF(OR(A22="",$B$9=""),"",IF(LEFT(B22,1)="+",$B$9+VALUE(SUBSTITUTE(B22," h",""))/24,IF(LEFT(B22,1)="-",$B$9+VALUE(SUBSTITUTE(B22," h",""))/24,$B$9))),"")</f>
        <v/>
      </c>
      <c r="G25" s="260" t="n"/>
      <c r="H25" s="5" t="n"/>
      <c r="I25" s="5" t="n"/>
    </row>
    <row r="26" ht="15" customHeight="1">
      <c r="A26" s="14">
        <f>IFERROR(IF(VLOOKUP($B$4,_Lookups!$CB:$CG,2,FALSE())="","",INDIRECT("_Lookups!"&amp;ADDRESS(5+1,VLOOKUP($B$4,_Lookups!$CB:$CG,2,FALSE())))),"")</f>
        <v/>
      </c>
      <c r="B26" s="88">
        <f>IFERROR(IF(VLOOKUP($B$4,_Lookups!$CB:$CG,3,FALSE())="","",IF(INDIRECT("_Lookups!"&amp;ADDRESS(5+1,VLOOKUP($B$4,_Lookups!$CB:$CG,3,FALSE())))="","",IF(INDIRECT("_Lookups!"&amp;ADDRESS(5+1,VLOOKUP($B$4,_Lookups!$CB:$CG,3,FALSE())))&lt;0,INDIRECT("_Lookups!"&amp;ADDRESS(5+1,VLOOKUP($B$4,_Lookups!$CB:$CG,3,FALSE())))&amp;" h","+"&amp;INDIRECT("_Lookups!"&amp;ADDRESS(5+1,VLOOKUP($B$4,_Lookups!$CB:$CG,3,FALSE())))&amp;" h"))),"")</f>
        <v/>
      </c>
      <c r="C26" s="88">
        <f>IFERROR(IF(VLOOKUP($B$4,_Lookups!$CB:$CG,4,FALSE())="","",INDIRECT("_Lookups!"&amp;ADDRESS(5+1,VLOOKUP($B$4,_Lookups!$CB:$CG,4,FALSE())))),"")</f>
        <v/>
      </c>
      <c r="D26" s="86">
        <f>IFERROR(IF(VLOOKUP($B$4,_Lookups!$CB:$CG,5,FALSE())="","",INDIRECT("_Lookups!"&amp;ADDRESS(5+1,VLOOKUP($B$4,_Lookups!$CB:$CG,5,FALSE())))),"")</f>
        <v/>
      </c>
      <c r="E26" s="14">
        <f>IFERROR(IF(A23="","",IF(ISNUMBER(SEARCH("Soak",A23)),TEXT($B$11,"0.00")&amp;" kg",IF(ISNUMBER(SEARCH("Steam",A23)),TEXT($B$12,"0.00")&amp;" kg",IF(ISNUMBER(SEARCH("DRY DOWN",A23)),TEXT($B$13,"0.00")&amp;" kg",IF(ISNUMBER(SEARCH("Dekoji",A23)),TEXT($B$15,"0.00")&amp;" kg",""))))),"")</f>
        <v/>
      </c>
      <c r="F26" s="257">
        <f>IFERROR(IF(OR(A23="",$B$9=""),"",IF(LEFT(B23,1)="+",$B$9+VALUE(SUBSTITUTE(B23," h",""))/24,IF(LEFT(B23,1)="-",$B$9+VALUE(SUBSTITUTE(B23," h",""))/24,$B$9))),"")</f>
        <v/>
      </c>
      <c r="G26" s="260" t="n"/>
      <c r="H26" s="5" t="n"/>
      <c r="I26" s="5" t="n"/>
    </row>
    <row r="27" ht="15" customHeight="1">
      <c r="A27" s="14">
        <f>IFERROR(IF(VLOOKUP($B$4,_Lookups!$CB:$CG,2,FALSE())="","",INDIRECT("_Lookups!"&amp;ADDRESS(6+1,VLOOKUP($B$4,_Lookups!$CB:$CG,2,FALSE())))),"")</f>
        <v/>
      </c>
      <c r="B27" s="88">
        <f>IFERROR(IF(VLOOKUP($B$4,_Lookups!$CB:$CG,3,FALSE())="","",IF(INDIRECT("_Lookups!"&amp;ADDRESS(6+1,VLOOKUP($B$4,_Lookups!$CB:$CG,3,FALSE())))="","",IF(INDIRECT("_Lookups!"&amp;ADDRESS(6+1,VLOOKUP($B$4,_Lookups!$CB:$CG,3,FALSE())))&lt;0,INDIRECT("_Lookups!"&amp;ADDRESS(6+1,VLOOKUP($B$4,_Lookups!$CB:$CG,3,FALSE())))&amp;" h","+"&amp;INDIRECT("_Lookups!"&amp;ADDRESS(6+1,VLOOKUP($B$4,_Lookups!$CB:$CG,3,FALSE())))&amp;" h"))),"")</f>
        <v/>
      </c>
      <c r="C27" s="88">
        <f>IFERROR(IF(VLOOKUP($B$4,_Lookups!$CB:$CG,4,FALSE())="","",INDIRECT("_Lookups!"&amp;ADDRESS(6+1,VLOOKUP($B$4,_Lookups!$CB:$CG,4,FALSE())))),"")</f>
        <v/>
      </c>
      <c r="D27" s="86">
        <f>IFERROR(IF(VLOOKUP($B$4,_Lookups!$CB:$CG,5,FALSE())="","",INDIRECT("_Lookups!"&amp;ADDRESS(6+1,VLOOKUP($B$4,_Lookups!$CB:$CG,5,FALSE())))),"")</f>
        <v/>
      </c>
      <c r="E27" s="14">
        <f>IFERROR(IF(A24="","",IF(ISNUMBER(SEARCH("Soak",A24)),TEXT($B$11,"0.00")&amp;" kg",IF(ISNUMBER(SEARCH("Steam",A24)),TEXT($B$12,"0.00")&amp;" kg",IF(ISNUMBER(SEARCH("DRY DOWN",A24)),TEXT($B$13,"0.00")&amp;" kg",IF(ISNUMBER(SEARCH("Dekoji",A24)),TEXT($B$15,"0.00")&amp;" kg",""))))),"")</f>
        <v/>
      </c>
      <c r="F27" s="257">
        <f>IFERROR(IF(OR(A24="",$B$9=""),"",IF(LEFT(B24,1)="+",$B$9+VALUE(SUBSTITUTE(B24," h",""))/24,IF(LEFT(B24,1)="-",$B$9+VALUE(SUBSTITUTE(B24," h",""))/24,$B$9))),"")</f>
        <v/>
      </c>
      <c r="G27" s="260" t="n"/>
      <c r="H27" s="5" t="n"/>
      <c r="I27" s="5" t="n"/>
    </row>
    <row r="28" ht="15" customHeight="1">
      <c r="A28" s="14">
        <f>IFERROR(IF(VLOOKUP($B$4,_Lookups!$CB:$CG,2,FALSE())="","",INDIRECT("_Lookups!"&amp;ADDRESS(7+1,VLOOKUP($B$4,_Lookups!$CB:$CG,2,FALSE())))),"")</f>
        <v/>
      </c>
      <c r="B28" s="88">
        <f>IFERROR(IF(VLOOKUP($B$4,_Lookups!$CB:$CG,3,FALSE())="","",IF(INDIRECT("_Lookups!"&amp;ADDRESS(7+1,VLOOKUP($B$4,_Lookups!$CB:$CG,3,FALSE())))="","",IF(INDIRECT("_Lookups!"&amp;ADDRESS(7+1,VLOOKUP($B$4,_Lookups!$CB:$CG,3,FALSE())))&lt;0,INDIRECT("_Lookups!"&amp;ADDRESS(7+1,VLOOKUP($B$4,_Lookups!$CB:$CG,3,FALSE())))&amp;" h","+"&amp;INDIRECT("_Lookups!"&amp;ADDRESS(7+1,VLOOKUP($B$4,_Lookups!$CB:$CG,3,FALSE())))&amp;" h"))),"")</f>
        <v/>
      </c>
      <c r="C28" s="88">
        <f>IFERROR(IF(VLOOKUP($B$4,_Lookups!$CB:$CG,4,FALSE())="","",INDIRECT("_Lookups!"&amp;ADDRESS(7+1,VLOOKUP($B$4,_Lookups!$CB:$CG,4,FALSE())))),"")</f>
        <v/>
      </c>
      <c r="D28" s="86">
        <f>IFERROR(IF(VLOOKUP($B$4,_Lookups!$CB:$CG,5,FALSE())="","",INDIRECT("_Lookups!"&amp;ADDRESS(7+1,VLOOKUP($B$4,_Lookups!$CB:$CG,5,FALSE())))),"")</f>
        <v/>
      </c>
      <c r="E28" s="14">
        <f>IFERROR(IF(A25="","",IF(ISNUMBER(SEARCH("Soak",A25)),TEXT($B$11,"0.00")&amp;" kg",IF(ISNUMBER(SEARCH("Steam",A25)),TEXT($B$12,"0.00")&amp;" kg",IF(ISNUMBER(SEARCH("DRY DOWN",A25)),TEXT($B$13,"0.00")&amp;" kg",IF(ISNUMBER(SEARCH("Dekoji",A25)),TEXT($B$15,"0.00")&amp;" kg",""))))),"")</f>
        <v/>
      </c>
      <c r="F28" s="257">
        <f>IFERROR(IF(OR(A25="",$B$9=""),"",IF(LEFT(B25,1)="+",$B$9+VALUE(SUBSTITUTE(B25," h",""))/24,IF(LEFT(B25,1)="-",$B$9+VALUE(SUBSTITUTE(B25," h",""))/24,$B$9))),"")</f>
        <v/>
      </c>
      <c r="G28" s="260" t="n"/>
      <c r="H28" s="5" t="n"/>
      <c r="I28" s="5" t="n"/>
    </row>
    <row r="29" ht="15" customHeight="1">
      <c r="A29" s="14">
        <f>IFERROR(IF(VLOOKUP($B$4,_Lookups!$CB:$CG,2,FALSE())="","",INDIRECT("_Lookups!"&amp;ADDRESS(8+1,VLOOKUP($B$4,_Lookups!$CB:$CG,2,FALSE())))),"")</f>
        <v/>
      </c>
      <c r="B29" s="88">
        <f>IFERROR(IF(VLOOKUP($B$4,_Lookups!$CB:$CG,3,FALSE())="","",IF(INDIRECT("_Lookups!"&amp;ADDRESS(8+1,VLOOKUP($B$4,_Lookups!$CB:$CG,3,FALSE())))="","",IF(INDIRECT("_Lookups!"&amp;ADDRESS(8+1,VLOOKUP($B$4,_Lookups!$CB:$CG,3,FALSE())))&lt;0,INDIRECT("_Lookups!"&amp;ADDRESS(8+1,VLOOKUP($B$4,_Lookups!$CB:$CG,3,FALSE())))&amp;" h","+"&amp;INDIRECT("_Lookups!"&amp;ADDRESS(8+1,VLOOKUP($B$4,_Lookups!$CB:$CG,3,FALSE())))&amp;" h"))),"")</f>
        <v/>
      </c>
      <c r="C29" s="88">
        <f>IFERROR(IF(VLOOKUP($B$4,_Lookups!$CB:$CG,4,FALSE())="","",INDIRECT("_Lookups!"&amp;ADDRESS(8+1,VLOOKUP($B$4,_Lookups!$CB:$CG,4,FALSE())))),"")</f>
        <v/>
      </c>
      <c r="D29" s="86">
        <f>IFERROR(IF(VLOOKUP($B$4,_Lookups!$CB:$CG,5,FALSE())="","",INDIRECT("_Lookups!"&amp;ADDRESS(8+1,VLOOKUP($B$4,_Lookups!$CB:$CG,5,FALSE())))),"")</f>
        <v/>
      </c>
      <c r="E29" s="14">
        <f>IFERROR(IF(A26="","",IF(ISNUMBER(SEARCH("Soak",A26)),TEXT($B$11,"0.00")&amp;" kg",IF(ISNUMBER(SEARCH("Steam",A26)),TEXT($B$12,"0.00")&amp;" kg",IF(ISNUMBER(SEARCH("DRY DOWN",A26)),TEXT($B$13,"0.00")&amp;" kg",IF(ISNUMBER(SEARCH("Dekoji",A26)),TEXT($B$15,"0.00")&amp;" kg",""))))),"")</f>
        <v/>
      </c>
      <c r="F29" s="257">
        <f>IFERROR(IF(OR(A26="",$B$9=""),"",IF(LEFT(B26,1)="+",$B$9+VALUE(SUBSTITUTE(B26," h",""))/24,IF(LEFT(B26,1)="-",$B$9+VALUE(SUBSTITUTE(B26," h",""))/24,$B$9))),"")</f>
        <v/>
      </c>
      <c r="G29" s="260" t="n"/>
      <c r="H29" s="5" t="n"/>
      <c r="I29" s="5" t="n"/>
    </row>
    <row r="30" ht="15" customHeight="1">
      <c r="A30" s="14">
        <f>IFERROR(IF(VLOOKUP($B$4,_Lookups!$CB:$CG,2,FALSE())="","",INDIRECT("_Lookups!"&amp;ADDRESS(9+1,VLOOKUP($B$4,_Lookups!$CB:$CG,2,FALSE())))),"")</f>
        <v/>
      </c>
      <c r="B30" s="88">
        <f>IFERROR(IF(VLOOKUP($B$4,_Lookups!$CB:$CG,3,FALSE())="","",IF(INDIRECT("_Lookups!"&amp;ADDRESS(9+1,VLOOKUP($B$4,_Lookups!$CB:$CG,3,FALSE())))="","",IF(INDIRECT("_Lookups!"&amp;ADDRESS(9+1,VLOOKUP($B$4,_Lookups!$CB:$CG,3,FALSE())))&lt;0,INDIRECT("_Lookups!"&amp;ADDRESS(9+1,VLOOKUP($B$4,_Lookups!$CB:$CG,3,FALSE())))&amp;" h","+"&amp;INDIRECT("_Lookups!"&amp;ADDRESS(9+1,VLOOKUP($B$4,_Lookups!$CB:$CG,3,FALSE())))&amp;" h"))),"")</f>
        <v/>
      </c>
      <c r="C30" s="88">
        <f>IFERROR(IF(VLOOKUP($B$4,_Lookups!$CB:$CG,4,FALSE())="","",INDIRECT("_Lookups!"&amp;ADDRESS(9+1,VLOOKUP($B$4,_Lookups!$CB:$CG,4,FALSE())))),"")</f>
        <v/>
      </c>
      <c r="D30" s="86">
        <f>IFERROR(IF(VLOOKUP($B$4,_Lookups!$CB:$CG,5,FALSE())="","",INDIRECT("_Lookups!"&amp;ADDRESS(9+1,VLOOKUP($B$4,_Lookups!$CB:$CG,5,FALSE())))),"")</f>
        <v/>
      </c>
      <c r="E30" s="14">
        <f>IFERROR(IF(A27="","",IF(ISNUMBER(SEARCH("Soak",A27)),TEXT($B$11,"0.00")&amp;" kg",IF(ISNUMBER(SEARCH("Steam",A27)),TEXT($B$12,"0.00")&amp;" kg",IF(ISNUMBER(SEARCH("DRY DOWN",A27)),TEXT($B$13,"0.00")&amp;" kg",IF(ISNUMBER(SEARCH("Dekoji",A27)),TEXT($B$15,"0.00")&amp;" kg",""))))),"")</f>
        <v/>
      </c>
      <c r="F30" s="257">
        <f>IFERROR(IF(OR(A27="",$B$9=""),"",IF(LEFT(B27,1)="+",$B$9+VALUE(SUBSTITUTE(B27," h",""))/24,IF(LEFT(B27,1)="-",$B$9+VALUE(SUBSTITUTE(B27," h",""))/24,$B$9))),"")</f>
        <v/>
      </c>
      <c r="G30" s="260" t="n"/>
      <c r="H30" s="5" t="n"/>
      <c r="I30" s="5" t="n"/>
    </row>
    <row r="31" ht="15" customHeight="1">
      <c r="A31" s="14">
        <f>IFERROR(IF(VLOOKUP($B$4,_Lookups!$CB:$CG,2,FALSE())="","",INDIRECT("_Lookups!"&amp;ADDRESS(10+1,VLOOKUP($B$4,_Lookups!$CB:$CG,2,FALSE())))),"")</f>
        <v/>
      </c>
      <c r="B31" s="88">
        <f>IFERROR(IF(VLOOKUP($B$4,_Lookups!$CB:$CG,3,FALSE())="","",IF(INDIRECT("_Lookups!"&amp;ADDRESS(10+1,VLOOKUP($B$4,_Lookups!$CB:$CG,3,FALSE())))="","",IF(INDIRECT("_Lookups!"&amp;ADDRESS(10+1,VLOOKUP($B$4,_Lookups!$CB:$CG,3,FALSE())))&lt;0,INDIRECT("_Lookups!"&amp;ADDRESS(10+1,VLOOKUP($B$4,_Lookups!$CB:$CG,3,FALSE())))&amp;" h","+"&amp;INDIRECT("_Lookups!"&amp;ADDRESS(10+1,VLOOKUP($B$4,_Lookups!$CB:$CG,3,FALSE())))&amp;" h"))),"")</f>
        <v/>
      </c>
      <c r="C31" s="88">
        <f>IFERROR(IF(VLOOKUP($B$4,_Lookups!$CB:$CG,4,FALSE())="","",INDIRECT("_Lookups!"&amp;ADDRESS(10+1,VLOOKUP($B$4,_Lookups!$CB:$CG,4,FALSE())))),"")</f>
        <v/>
      </c>
      <c r="D31" s="86">
        <f>IFERROR(IF(VLOOKUP($B$4,_Lookups!$CB:$CG,5,FALSE())="","",INDIRECT("_Lookups!"&amp;ADDRESS(10+1,VLOOKUP($B$4,_Lookups!$CB:$CG,5,FALSE())))),"")</f>
        <v/>
      </c>
      <c r="E31" s="14">
        <f>IFERROR(IF(A28="","",IF(ISNUMBER(SEARCH("Soak",A28)),TEXT($B$11,"0.00")&amp;" kg",IF(ISNUMBER(SEARCH("Steam",A28)),TEXT($B$12,"0.00")&amp;" kg",IF(ISNUMBER(SEARCH("DRY DOWN",A28)),TEXT($B$13,"0.00")&amp;" kg",IF(ISNUMBER(SEARCH("Dekoji",A28)),TEXT($B$15,"0.00")&amp;" kg",""))))),"")</f>
        <v/>
      </c>
      <c r="F31" s="257">
        <f>IFERROR(IF(OR(A28="",$B$9=""),"",IF(LEFT(B28,1)="+",$B$9+VALUE(SUBSTITUTE(B28," h",""))/24,IF(LEFT(B28,1)="-",$B$9+VALUE(SUBSTITUTE(B28," h",""))/24,$B$9))),"")</f>
        <v/>
      </c>
      <c r="G31" s="260" t="n"/>
      <c r="H31" s="5" t="n"/>
      <c r="I31" s="5" t="n"/>
    </row>
    <row r="32" ht="15" customHeight="1">
      <c r="A32" s="14">
        <f>IFERROR(IF(VLOOKUP($B$4,_Lookups!$CB:$CG,2,FALSE())="","",INDIRECT("_Lookups!"&amp;ADDRESS(11+1,VLOOKUP($B$4,_Lookups!$CB:$CG,2,FALSE())))),"")</f>
        <v/>
      </c>
      <c r="H32" s="5" t="n"/>
      <c r="I32" s="5" t="n"/>
    </row>
    <row r="33" ht="15" customHeight="1">
      <c r="A33" s="14">
        <f>IFERROR(IF(VLOOKUP($B$4,_Lookups!$CB:$CG,2,FALSE())="","",INDIRECT("_Lookups!"&amp;ADDRESS(12+1,VLOOKUP($B$4,_Lookups!$CB:$CG,2,FALSE())))),"")</f>
        <v/>
      </c>
      <c r="B33" s="88">
        <f>IFERROR(IF(VLOOKUP($B$4,_Lookups!$CB:$CG,3,FALSE())="","",IF(INDIRECT("_Lookups!"&amp;ADDRESS(12+1,VLOOKUP($B$4,_Lookups!$CB:$CG,3,FALSE())))="","",IF(INDIRECT("_Lookups!"&amp;ADDRESS(12+1,VLOOKUP($B$4,_Lookups!$CB:$CG,3,FALSE())))&lt;0,INDIRECT("_Lookups!"&amp;ADDRESS(12+1,VLOOKUP($B$4,_Lookups!$CB:$CG,3,FALSE())))&amp;" h","+"&amp;INDIRECT("_Lookups!"&amp;ADDRESS(12+1,VLOOKUP($B$4,_Lookups!$CB:$CG,3,FALSE())))&amp;" h"))),"")</f>
        <v/>
      </c>
      <c r="C33" s="88">
        <f>IFERROR(IF(VLOOKUP($B$4,_Lookups!$CB:$CG,4,FALSE())="","",INDIRECT("_Lookups!"&amp;ADDRESS(12+1,VLOOKUP($B$4,_Lookups!$CB:$CG,4,FALSE())))),"")</f>
        <v/>
      </c>
      <c r="D33" s="86">
        <f>IFERROR(IF(VLOOKUP($B$4,_Lookups!$CB:$CG,5,FALSE())="","",INDIRECT("_Lookups!"&amp;ADDRESS(12+1,VLOOKUP($B$4,_Lookups!$CB:$CG,5,FALSE())))),"")</f>
        <v/>
      </c>
      <c r="E33" s="14">
        <f>IFERROR(IF(A30="","",IF(ISNUMBER(SEARCH("Soak",A30)),TEXT($B$11,"0.00")&amp;" kg",IF(ISNUMBER(SEARCH("Steam",A30)),TEXT($B$12,"0.00")&amp;" kg",IF(ISNUMBER(SEARCH("DRY DOWN",A30)),TEXT($B$13,"0.00")&amp;" kg",IF(ISNUMBER(SEARCH("Dekoji",A30)),TEXT($B$15,"0.00")&amp;" kg",""))))),"")</f>
        <v/>
      </c>
      <c r="F33" s="260">
        <f>IFERROR(IF(OR(A30="",$B$6=""),"",IF(LEFT(B30,1)="+",$B$6+VALUE(SUBSTITUTE(B30," h",""))/24,IF(LEFT(B30,1)="-",$B$6+VALUE(SUBSTITUTE(B30," h",""))/24,$B$6))),"")</f>
        <v/>
      </c>
      <c r="G33" s="260" t="n"/>
      <c r="H33" s="5" t="n"/>
      <c r="I33" s="5" t="n"/>
    </row>
    <row r="34" ht="15" customHeight="1">
      <c r="A34" s="5" t="n"/>
      <c r="B34" s="5" t="n"/>
      <c r="C34" s="5" t="n"/>
      <c r="D34" s="5" t="n"/>
      <c r="E34" s="5" t="n"/>
      <c r="F34" s="5" t="n"/>
      <c r="G34" s="5" t="n"/>
      <c r="H34" s="5" t="n"/>
      <c r="I34" s="5" t="n"/>
    </row>
    <row r="35" ht="15" customHeight="1">
      <c r="A35" s="163" t="inlineStr">
        <is>
          <t>MOTO PLAN</t>
        </is>
      </c>
      <c r="H35" s="5" t="n"/>
      <c r="I35" s="5" t="n"/>
    </row>
    <row r="36" ht="15" customHeight="1">
      <c r="A36" s="5" t="inlineStr">
        <is>
          <t>Moto type</t>
        </is>
      </c>
      <c r="B36" s="258" t="inlineStr">
        <is>
          <t>Select ▽</t>
        </is>
      </c>
      <c r="C36" s="5" t="n"/>
      <c r="D36" s="5" t="n"/>
      <c r="E36" s="5" t="n"/>
      <c r="F36" s="5" t="n"/>
      <c r="G36" s="5" t="n"/>
      <c r="H36" s="5" t="n"/>
      <c r="I36" s="5" t="n"/>
    </row>
    <row r="37" ht="15" customHeight="1">
      <c r="A37" s="5" t="inlineStr">
        <is>
          <t>Moto start</t>
        </is>
      </c>
      <c r="B37" s="261" t="n"/>
      <c r="H37" s="5" t="n"/>
      <c r="I37" s="5" t="n"/>
    </row>
    <row r="38" ht="15" customHeight="1">
      <c r="A38" s="5" t="inlineStr">
        <is>
          <t>Elapsed hours</t>
        </is>
      </c>
      <c r="B38" s="86">
        <f>IFERROR(IF(OR(B37="",ISBLANK(B37)),"",(NOW()-B37)*24),"")</f>
        <v/>
      </c>
      <c r="C38" s="5" t="inlineStr">
        <is>
          <t>hours</t>
        </is>
      </c>
      <c r="D38" s="5" t="n"/>
      <c r="E38" s="5" t="n"/>
      <c r="F38" s="5" t="n"/>
      <c r="G38" s="5" t="n"/>
      <c r="H38" s="5" t="n"/>
      <c r="I38" s="5" t="n"/>
    </row>
    <row r="39" ht="15" customHeight="1">
      <c r="A39" s="5" t="n"/>
      <c r="B39" s="5" t="n"/>
      <c r="C39" s="5" t="n"/>
      <c r="D39" s="5" t="n"/>
      <c r="E39" s="5" t="n"/>
      <c r="F39" s="5" t="n"/>
      <c r="G39" s="5" t="n"/>
      <c r="H39" s="5" t="n"/>
      <c r="I39" s="5" t="n"/>
    </row>
    <row r="40" ht="15" customHeight="1">
      <c r="A40" s="163" t="inlineStr">
        <is>
          <t>MOTO QUANTITIES</t>
        </is>
      </c>
      <c r="I40" s="5" t="n"/>
    </row>
    <row r="41" ht="15" customHeight="1">
      <c r="A41" s="5" t="inlineStr">
        <is>
          <t>Total moto rice (kg)</t>
        </is>
      </c>
      <c r="B41" s="262">
        <f>IFERROR(_Allocations!B11,"")</f>
        <v/>
      </c>
      <c r="C41" s="5" t="n"/>
      <c r="D41" s="5" t="n"/>
      <c r="E41" s="5" t="n"/>
      <c r="F41" s="5" t="n"/>
      <c r="G41" s="5" t="n"/>
      <c r="H41" s="5" t="n"/>
      <c r="I41" s="5" t="n"/>
    </row>
    <row r="42" ht="15" customHeight="1">
      <c r="A42" s="5" t="inlineStr">
        <is>
          <t>Moto koji (kg)</t>
        </is>
      </c>
      <c r="B42" s="262">
        <f>IFERROR(_Allocations!C11,"")</f>
        <v/>
      </c>
      <c r="C42" s="5" t="n"/>
      <c r="D42" s="5" t="n"/>
      <c r="E42" s="5" t="n"/>
      <c r="F42" s="5" t="n"/>
      <c r="G42" s="5" t="n"/>
      <c r="H42" s="5" t="n"/>
      <c r="I42" s="5" t="n"/>
    </row>
    <row r="43" ht="15" customHeight="1">
      <c r="A43" s="5" t="inlineStr">
        <is>
          <t>Moto water (L)</t>
        </is>
      </c>
      <c r="B43" s="171">
        <f>IFERROR(_Allocations!D11,"")</f>
        <v/>
      </c>
      <c r="H43" s="5" t="n"/>
      <c r="I43" s="5" t="n"/>
    </row>
    <row r="44" ht="15" customHeight="1">
      <c r="A44" s="5" t="inlineStr">
        <is>
          <t>Moto kakemai (kg)</t>
        </is>
      </c>
      <c r="B44" s="262">
        <f>IFERROR(_Allocations!B24,"")</f>
        <v/>
      </c>
      <c r="C44" s="5" t="n"/>
      <c r="D44" s="5" t="n"/>
      <c r="E44" s="5" t="n"/>
      <c r="F44" s="5" t="n"/>
      <c r="G44" s="5" t="n"/>
      <c r="H44" s="5" t="n"/>
      <c r="I44" s="5" t="n"/>
    </row>
    <row r="45" ht="15" customHeight="1">
      <c r="A45" s="5" t="n"/>
      <c r="B45" s="5" t="n"/>
      <c r="C45" s="5" t="n"/>
      <c r="D45" s="5" t="n"/>
      <c r="E45" s="5" t="n"/>
      <c r="F45" s="5" t="n"/>
      <c r="G45" s="5" t="n"/>
      <c r="H45" s="5" t="n"/>
      <c r="I45" s="5" t="n"/>
    </row>
    <row r="46" ht="15" customHeight="1">
      <c r="A46" s="163" t="inlineStr">
        <is>
          <t>MOTO WORKFLOW</t>
        </is>
      </c>
      <c r="I46" s="5" t="n"/>
    </row>
    <row r="47" ht="15" customHeight="1">
      <c r="A47" s="263" t="inlineStr">
        <is>
          <t>Step</t>
        </is>
      </c>
      <c r="B47" s="263" t="inlineStr">
        <is>
          <t>Time</t>
        </is>
      </c>
      <c r="C47" s="263" t="inlineStr">
        <is>
          <t>Temp</t>
        </is>
      </c>
      <c r="D47" s="263" t="inlineStr">
        <is>
          <t>pH</t>
        </is>
      </c>
      <c r="E47" s="263" t="inlineStr">
        <is>
          <t>Target</t>
        </is>
      </c>
      <c r="F47" s="263" t="inlineStr">
        <is>
          <t>Check</t>
        </is>
      </c>
      <c r="G47" s="263" t="inlineStr">
        <is>
          <t>Scheduled</t>
        </is>
      </c>
      <c r="H47" s="161" t="n"/>
      <c r="I47" s="5" t="n"/>
    </row>
    <row r="48" ht="15" customHeight="1">
      <c r="A48" s="14">
        <f>IFERROR(IF(VLOOKUP($B$36,_Lookups!$DD:$DI,2,FALSE())="","",IF(OR(INDIRECT("_Lookups!"&amp;ADDRESS(1+1,VLOOKUP($B$36,_Lookups!$DD:$DI,2,FALSE())))="",INDIRECT("_Lookups!"&amp;ADDRESS(1+1,VLOOKUP($B$36,_Lookups!$DD:$DI,2,FALSE())))=0),"",INDIRECT("_Lookups!"&amp;ADDRESS(1+1,VLOOKUP($B$36,_Lookups!$DD:$DI,2,FALSE()))))),"")</f>
        <v/>
      </c>
      <c r="B48" s="88">
        <f>IFERROR(IF(A45="","",INDIRECT("_Lookups!"&amp;ADDRESS(1+1,VLOOKUP($B$36,_Lookups!$DD:$DI,3,FALSE())))),"")</f>
        <v/>
      </c>
      <c r="C48" s="88">
        <f>IFERROR(IF(A45="","",INDIRECT("_Lookups!"&amp;ADDRESS(1+1,VLOOKUP($B$36,_Lookups!$DD:$DI,4,FALSE())))),"")</f>
        <v/>
      </c>
      <c r="D48" s="86">
        <f>IFERROR(IF(A45="","",INDIRECT("_Lookups!"&amp;ADDRESS(1+1,VLOOKUP($B$36,_Lookups!$DD:$DI,5,FALSE())))),"")</f>
        <v/>
      </c>
      <c r="E48" s="14">
        <f>IFERROR(IF(A45="","",INDIRECT("_Lookups!"&amp;ADDRESS(1+1,VLOOKUP($B$36,_Lookups!$DD:$DI,6,FALSE())))),"")</f>
        <v/>
      </c>
      <c r="F48" s="264" t="n"/>
      <c r="G48" s="251">
        <f>IFERROR(IF(OR(A45="",$B$37=""),"",IF(B45="Start",$B$37,IF(LEFT(B45,1)="+",$B$37+VALUE(SUBSTITUTE(SUBSTITUTE(B45,"+","")," hrs",""))/24,IF(LEFT(B45,3)="Day",$B$37+VALUE(MID(B45,5,10)),$B$37)))),"")</f>
        <v/>
      </c>
      <c r="H48" s="90" t="n"/>
      <c r="I48" s="5" t="n"/>
    </row>
    <row r="49" ht="15" customHeight="1">
      <c r="A49" s="14">
        <f>IFERROR(IF(VLOOKUP($B$36,_Lookups!$DD:$DI,2,FALSE())="","",IF(OR(INDIRECT("_Lookups!"&amp;ADDRESS(1+2,VLOOKUP($B$36,_Lookups!$DD:$DI,2,FALSE())))="",INDIRECT("_Lookups!"&amp;ADDRESS(1+2,VLOOKUP($B$36,_Lookups!$DD:$DI,2,FALSE())))=0),"",INDIRECT("_Lookups!"&amp;ADDRESS(1+2,VLOOKUP($B$36,_Lookups!$DD:$DI,2,FALSE()))))),"")</f>
        <v/>
      </c>
      <c r="B49" s="88">
        <f>IFERROR(IF(A46="","",INDIRECT("_Lookups!"&amp;ADDRESS(1+2,VLOOKUP($B$36,_Lookups!$DD:$DI,3,FALSE())))),"")</f>
        <v/>
      </c>
      <c r="C49" s="88">
        <f>IFERROR(IF(A46="","",INDIRECT("_Lookups!"&amp;ADDRESS(1+2,VLOOKUP($B$36,_Lookups!$DD:$DI,4,FALSE())))),"")</f>
        <v/>
      </c>
      <c r="D49" s="86">
        <f>IFERROR(IF(A46="","",INDIRECT("_Lookups!"&amp;ADDRESS(1+2,VLOOKUP($B$36,_Lookups!$DD:$DI,5,FALSE())))),"")</f>
        <v/>
      </c>
      <c r="E49" s="14">
        <f>IFERROR(IF(A46="","",INDIRECT("_Lookups!"&amp;ADDRESS(1+2,VLOOKUP($B$36,_Lookups!$DD:$DI,6,FALSE())))),"")</f>
        <v/>
      </c>
      <c r="F49" s="264" t="n"/>
      <c r="G49" s="251">
        <f>IFERROR(IF(OR(A46="",$B$37=""),"",IF(B46="Start",$B$37,IF(LEFT(B46,1)="+",$B$37+VALUE(SUBSTITUTE(SUBSTITUTE(B46,"+","")," hrs",""))/24,IF(LEFT(B46,3)="Day",$B$37+VALUE(MID(B46,5,10)),$B$37)))),"")</f>
        <v/>
      </c>
      <c r="H49" s="90" t="n"/>
      <c r="I49" s="5" t="n"/>
    </row>
    <row r="50" ht="15" customHeight="1">
      <c r="A50" s="14">
        <f>IFERROR(IF(VLOOKUP($B$36,_Lookups!$DD:$DI,2,FALSE())="","",IF(OR(INDIRECT("_Lookups!"&amp;ADDRESS(1+3,VLOOKUP($B$36,_Lookups!$DD:$DI,2,FALSE())))="",INDIRECT("_Lookups!"&amp;ADDRESS(1+3,VLOOKUP($B$36,_Lookups!$DD:$DI,2,FALSE())))=0),"",INDIRECT("_Lookups!"&amp;ADDRESS(1+3,VLOOKUP($B$36,_Lookups!$DD:$DI,2,FALSE()))))),"")</f>
        <v/>
      </c>
      <c r="B50" s="88">
        <f>IFERROR(IF(A47="","",INDIRECT("_Lookups!"&amp;ADDRESS(1+3,VLOOKUP($B$36,_Lookups!$DD:$DI,3,FALSE())))),"")</f>
        <v/>
      </c>
      <c r="C50" s="88">
        <f>IFERROR(IF(A47="","",INDIRECT("_Lookups!"&amp;ADDRESS(1+3,VLOOKUP($B$36,_Lookups!$DD:$DI,4,FALSE())))),"")</f>
        <v/>
      </c>
      <c r="D50" s="86">
        <f>IFERROR(IF(A47="","",INDIRECT("_Lookups!"&amp;ADDRESS(1+3,VLOOKUP($B$36,_Lookups!$DD:$DI,5,FALSE())))),"")</f>
        <v/>
      </c>
      <c r="E50" s="14">
        <f>IFERROR(IF(A47="","",INDIRECT("_Lookups!"&amp;ADDRESS(1+3,VLOOKUP($B$36,_Lookups!$DD:$DI,6,FALSE())))),"")</f>
        <v/>
      </c>
      <c r="F50" s="264" t="n"/>
      <c r="G50" s="251">
        <f>IFERROR(IF(OR(A47="",$B$37=""),"",IF(B47="Start",$B$37,IF(LEFT(B47,1)="+",$B$37+VALUE(SUBSTITUTE(SUBSTITUTE(B47,"+","")," hrs",""))/24,IF(LEFT(B47,3)="Day",$B$37+VALUE(MID(B47,5,10)),$B$37)))),"")</f>
        <v/>
      </c>
      <c r="H50" s="90" t="n"/>
      <c r="I50" s="5" t="n"/>
    </row>
    <row r="51" ht="15" customHeight="1">
      <c r="A51" s="14">
        <f>IFERROR(IF(VLOOKUP($B$36,_Lookups!$DD:$DI,2,FALSE())="","",IF(OR(INDIRECT("_Lookups!"&amp;ADDRESS(1+4,VLOOKUP($B$36,_Lookups!$DD:$DI,2,FALSE())))="",INDIRECT("_Lookups!"&amp;ADDRESS(1+4,VLOOKUP($B$36,_Lookups!$DD:$DI,2,FALSE())))=0),"",INDIRECT("_Lookups!"&amp;ADDRESS(1+4,VLOOKUP($B$36,_Lookups!$DD:$DI,2,FALSE()))))),"")</f>
        <v/>
      </c>
      <c r="B51" s="88">
        <f>IFERROR(IF(A48="","",INDIRECT("_Lookups!"&amp;ADDRESS(1+4,VLOOKUP($B$36,_Lookups!$DD:$DI,3,FALSE())))),"")</f>
        <v/>
      </c>
      <c r="C51" s="88">
        <f>IFERROR(IF(A48="","",INDIRECT("_Lookups!"&amp;ADDRESS(1+4,VLOOKUP($B$36,_Lookups!$DD:$DI,4,FALSE())))),"")</f>
        <v/>
      </c>
      <c r="D51" s="86">
        <f>IFERROR(IF(A48="","",INDIRECT("_Lookups!"&amp;ADDRESS(1+4,VLOOKUP($B$36,_Lookups!$DD:$DI,5,FALSE())))),"")</f>
        <v/>
      </c>
      <c r="E51" s="14">
        <f>IFERROR(IF(A48="","",INDIRECT("_Lookups!"&amp;ADDRESS(1+4,VLOOKUP($B$36,_Lookups!$DD:$DI,6,FALSE())))),"")</f>
        <v/>
      </c>
      <c r="F51" s="264" t="n"/>
      <c r="G51" s="251">
        <f>IFERROR(IF(OR(A48="",$B$37=""),"",IF(B48="Start",$B$37,IF(LEFT(B48,1)="+",$B$37+VALUE(SUBSTITUTE(SUBSTITUTE(B48,"+","")," hrs",""))/24,IF(LEFT(B48,3)="Day",$B$37+VALUE(MID(B48,5,10)),$B$37)))),"")</f>
        <v/>
      </c>
      <c r="H51" s="90" t="n"/>
      <c r="I51" s="5" t="n"/>
    </row>
    <row r="52" ht="15" customHeight="1">
      <c r="A52" s="14">
        <f>IFERROR(IF(VLOOKUP($B$36,_Lookups!$DD:$DI,2,FALSE())="","",IF(OR(INDIRECT("_Lookups!"&amp;ADDRESS(1+5,VLOOKUP($B$36,_Lookups!$DD:$DI,2,FALSE())))="",INDIRECT("_Lookups!"&amp;ADDRESS(1+5,VLOOKUP($B$36,_Lookups!$DD:$DI,2,FALSE())))=0),"",INDIRECT("_Lookups!"&amp;ADDRESS(1+5,VLOOKUP($B$36,_Lookups!$DD:$DI,2,FALSE()))))),"")</f>
        <v/>
      </c>
      <c r="B52" s="88">
        <f>IFERROR(IF(A49="","",INDIRECT("_Lookups!"&amp;ADDRESS(1+5,VLOOKUP($B$36,_Lookups!$DD:$DI,3,FALSE())))),"")</f>
        <v/>
      </c>
      <c r="C52" s="88">
        <f>IFERROR(IF(A49="","",INDIRECT("_Lookups!"&amp;ADDRESS(1+5,VLOOKUP($B$36,_Lookups!$DD:$DI,4,FALSE())))),"")</f>
        <v/>
      </c>
      <c r="D52" s="86">
        <f>IFERROR(IF(A49="","",INDIRECT("_Lookups!"&amp;ADDRESS(1+5,VLOOKUP($B$36,_Lookups!$DD:$DI,5,FALSE())))),"")</f>
        <v/>
      </c>
      <c r="E52" s="14">
        <f>IFERROR(IF(A49="","",INDIRECT("_Lookups!"&amp;ADDRESS(1+5,VLOOKUP($B$36,_Lookups!$DD:$DI,6,FALSE())))),"")</f>
        <v/>
      </c>
      <c r="F52" s="264" t="n"/>
      <c r="G52" s="251">
        <f>IFERROR(IF(OR(A49="",$B$37=""),"",IF(B49="Start",$B$37,IF(LEFT(B49,1)="+",$B$37+VALUE(SUBSTITUTE(SUBSTITUTE(B49,"+","")," hrs",""))/24,IF(LEFT(B49,3)="Day",$B$37+VALUE(MID(B49,5,10)),$B$37)))),"")</f>
        <v/>
      </c>
      <c r="H52" s="90" t="n"/>
      <c r="I52" s="5" t="n"/>
    </row>
    <row r="53" ht="15" customHeight="1">
      <c r="A53" s="14">
        <f>IFERROR(IF(VLOOKUP($B$36,_Lookups!$DD:$DI,2,FALSE())="","",IF(OR(INDIRECT("_Lookups!"&amp;ADDRESS(1+6,VLOOKUP($B$36,_Lookups!$DD:$DI,2,FALSE())))="",INDIRECT("_Lookups!"&amp;ADDRESS(1+6,VLOOKUP($B$36,_Lookups!$DD:$DI,2,FALSE())))=0),"",INDIRECT("_Lookups!"&amp;ADDRESS(1+6,VLOOKUP($B$36,_Lookups!$DD:$DI,2,FALSE()))))),"")</f>
        <v/>
      </c>
      <c r="B53" s="88">
        <f>IFERROR(IF(A50="","",INDIRECT("_Lookups!"&amp;ADDRESS(1+6,VLOOKUP($B$36,_Lookups!$DD:$DI,3,FALSE())))),"")</f>
        <v/>
      </c>
      <c r="C53" s="88">
        <f>IFERROR(IF(A50="","",INDIRECT("_Lookups!"&amp;ADDRESS(1+6,VLOOKUP($B$36,_Lookups!$DD:$DI,4,FALSE())))),"")</f>
        <v/>
      </c>
      <c r="D53" s="86">
        <f>IFERROR(IF(A50="","",INDIRECT("_Lookups!"&amp;ADDRESS(1+6,VLOOKUP($B$36,_Lookups!$DD:$DI,5,FALSE())))),"")</f>
        <v/>
      </c>
      <c r="E53" s="14">
        <f>IFERROR(IF(A50="","",INDIRECT("_Lookups!"&amp;ADDRESS(1+6,VLOOKUP($B$36,_Lookups!$DD:$DI,6,FALSE())))),"")</f>
        <v/>
      </c>
      <c r="F53" s="264" t="n"/>
      <c r="G53" s="251">
        <f>IFERROR(IF(OR(A50="",$B$37=""),"",IF(B50="Start",$B$37,IF(LEFT(B50,1)="+",$B$37+VALUE(SUBSTITUTE(SUBSTITUTE(B50,"+","")," hrs",""))/24,IF(LEFT(B50,3)="Day",$B$37+VALUE(MID(B50,5,10)),$B$37)))),"")</f>
        <v/>
      </c>
      <c r="H53" s="90" t="n"/>
      <c r="I53" s="5" t="n"/>
    </row>
    <row r="54" ht="15" customHeight="1">
      <c r="A54" s="14">
        <f>IFERROR(IF(VLOOKUP($B$36,_Lookups!$DD:$DI,2,FALSE())="","",IF(OR(INDIRECT("_Lookups!"&amp;ADDRESS(1+7,VLOOKUP($B$36,_Lookups!$DD:$DI,2,FALSE())))="",INDIRECT("_Lookups!"&amp;ADDRESS(1+7,VLOOKUP($B$36,_Lookups!$DD:$DI,2,FALSE())))=0),"",INDIRECT("_Lookups!"&amp;ADDRESS(1+7,VLOOKUP($B$36,_Lookups!$DD:$DI,2,FALSE()))))),"")</f>
        <v/>
      </c>
      <c r="B54" s="88">
        <f>IFERROR(IF(A51="","",INDIRECT("_Lookups!"&amp;ADDRESS(1+7,VLOOKUP($B$36,_Lookups!$DD:$DI,3,FALSE())))),"")</f>
        <v/>
      </c>
      <c r="C54" s="88">
        <f>IFERROR(IF(A51="","",INDIRECT("_Lookups!"&amp;ADDRESS(1+7,VLOOKUP($B$36,_Lookups!$DD:$DI,4,FALSE())))),"")</f>
        <v/>
      </c>
      <c r="D54" s="86">
        <f>IFERROR(IF(A51="","",INDIRECT("_Lookups!"&amp;ADDRESS(1+7,VLOOKUP($B$36,_Lookups!$DD:$DI,5,FALSE())))),"")</f>
        <v/>
      </c>
      <c r="E54" s="14">
        <f>IFERROR(IF(A51="","",INDIRECT("_Lookups!"&amp;ADDRESS(1+7,VLOOKUP($B$36,_Lookups!$DD:$DI,6,FALSE())))),"")</f>
        <v/>
      </c>
      <c r="F54" s="264" t="n"/>
      <c r="G54" s="251">
        <f>IFERROR(IF(OR(A51="",$B$37=""),"",IF(B51="Start",$B$37,IF(LEFT(B51,1)="+",$B$37+VALUE(SUBSTITUTE(SUBSTITUTE(B51,"+","")," hrs",""))/24,IF(LEFT(B51,3)="Day",$B$37+VALUE(MID(B51,5,10)),$B$37)))),"")</f>
        <v/>
      </c>
      <c r="H54" s="90" t="n"/>
      <c r="I54" s="5" t="n"/>
    </row>
    <row r="55" ht="15" customHeight="1">
      <c r="A55" s="91">
        <f>IFERROR(IF(VLOOKUP($B$36,_Lookups!$DD:$DI,2,FALSE())="","",IF(OR(INDIRECT("_Lookups!"&amp;ADDRESS(1+8,VLOOKUP($B$36,_Lookups!$DD:$DI,2,FALSE())))="",INDIRECT("_Lookups!"&amp;ADDRESS(1+8,VLOOKUP($B$36,_Lookups!$DD:$DI,2,FALSE())))=0),"",INDIRECT("_Lookups!"&amp;ADDRESS(1+8,VLOOKUP($B$36,_Lookups!$DD:$DI,2,FALSE()))))),"")</f>
        <v/>
      </c>
      <c r="B55" s="88">
        <f>IFERROR(IF(A52="","",INDIRECT("_Lookups!"&amp;ADDRESS(1+8,VLOOKUP($B$36,_Lookups!$DD:$DI,3,FALSE())))),"")</f>
        <v/>
      </c>
      <c r="C55" s="88">
        <f>IFERROR(IF(A52="","",INDIRECT("_Lookups!"&amp;ADDRESS(1+8,VLOOKUP($B$36,_Lookups!$DD:$DI,4,FALSE())))),"")</f>
        <v/>
      </c>
      <c r="D55" s="86">
        <f>IFERROR(IF(A52="","",INDIRECT("_Lookups!"&amp;ADDRESS(1+8,VLOOKUP($B$36,_Lookups!$DD:$DI,5,FALSE())))),"")</f>
        <v/>
      </c>
      <c r="E55" s="14">
        <f>IFERROR(IF(A52="","",INDIRECT("_Lookups!"&amp;ADDRESS(1+8,VLOOKUP($B$36,_Lookups!$DD:$DI,6,FALSE())))),"")</f>
        <v/>
      </c>
      <c r="F55" s="264" t="n"/>
      <c r="G55" s="251">
        <f>IFERROR(IF(OR(A52="",$B$37=""),"",IF(B52="Start",$B$37,IF(LEFT(B52,1)="+",$B$37+VALUE(SUBSTITUTE(SUBSTITUTE(B52,"+","")," hrs",""))/24,IF(LEFT(B52,3)="Day",$B$37+VALUE(MID(B52,5,10)),$B$37)))),"")</f>
        <v/>
      </c>
      <c r="H55" s="90" t="n"/>
      <c r="I55" s="5" t="n"/>
    </row>
    <row r="56" ht="15" customHeight="1">
      <c r="A56" s="14">
        <f>IFERROR(IF(VLOOKUP($B$36,_Lookups!$DD:$DI,2,FALSE())="","",IF(OR(INDIRECT("_Lookups!"&amp;ADDRESS(1+9,VLOOKUP($B$36,_Lookups!$DD:$DI,2,FALSE())))="",INDIRECT("_Lookups!"&amp;ADDRESS(1+9,VLOOKUP($B$36,_Lookups!$DD:$DI,2,FALSE())))=0),"",INDIRECT("_Lookups!"&amp;ADDRESS(1+9,VLOOKUP($B$36,_Lookups!$DD:$DI,2,FALSE()))))),"")</f>
        <v/>
      </c>
      <c r="B56" s="88">
        <f>IFERROR(IF(A53="","",INDIRECT("_Lookups!"&amp;ADDRESS(1+9,VLOOKUP($B$36,_Lookups!$DD:$DI,3,FALSE())))),"")</f>
        <v/>
      </c>
      <c r="C56" s="88">
        <f>IFERROR(IF(A53="","",INDIRECT("_Lookups!"&amp;ADDRESS(1+9,VLOOKUP($B$36,_Lookups!$DD:$DI,4,FALSE())))),"")</f>
        <v/>
      </c>
      <c r="D56" s="86">
        <f>IFERROR(IF(A53="","",INDIRECT("_Lookups!"&amp;ADDRESS(1+9,VLOOKUP($B$36,_Lookups!$DD:$DI,5,FALSE())))),"")</f>
        <v/>
      </c>
      <c r="E56" s="14">
        <f>IFERROR(IF(A53="","",INDIRECT("_Lookups!"&amp;ADDRESS(1+9,VLOOKUP($B$36,_Lookups!$DD:$DI,6,FALSE())))),"")</f>
        <v/>
      </c>
      <c r="F56" s="264" t="n"/>
      <c r="G56" s="251">
        <f>IFERROR(IF(OR(A53="",$B$37=""),"",IF(B53="Start",$B$37,IF(LEFT(B53,1)="+",$B$37+VALUE(SUBSTITUTE(SUBSTITUTE(B53,"+","")," hrs",""))/24,IF(LEFT(B53,3)="Day",$B$37+VALUE(MID(B53,5,10)),$B$37)))),"")</f>
        <v/>
      </c>
      <c r="H56" s="90" t="n"/>
      <c r="I56" s="5" t="n"/>
    </row>
    <row r="57" ht="15" customHeight="1">
      <c r="A57" s="14">
        <f>IFERROR(IF(VLOOKUP($B$36,_Lookups!$DD:$DI,2,FALSE())="","",IF(OR(INDIRECT("_Lookups!"&amp;ADDRESS(1+10,VLOOKUP($B$36,_Lookups!$DD:$DI,2,FALSE())))="",INDIRECT("_Lookups!"&amp;ADDRESS(1+10,VLOOKUP($B$36,_Lookups!$DD:$DI,2,FALSE())))=0),"",INDIRECT("_Lookups!"&amp;ADDRESS(1+10,VLOOKUP($B$36,_Lookups!$DD:$DI,2,FALSE()))))),"")</f>
        <v/>
      </c>
      <c r="B57" s="88">
        <f>IFERROR(IF(A54="","",INDIRECT("_Lookups!"&amp;ADDRESS(1+10,VLOOKUP($B$36,_Lookups!$DD:$DI,3,FALSE())))),"")</f>
        <v/>
      </c>
      <c r="C57" s="88">
        <f>IFERROR(IF(A54="","",INDIRECT("_Lookups!"&amp;ADDRESS(1+10,VLOOKUP($B$36,_Lookups!$DD:$DI,4,FALSE())))),"")</f>
        <v/>
      </c>
      <c r="D57" s="86">
        <f>IFERROR(IF(A54="","",INDIRECT("_Lookups!"&amp;ADDRESS(1+10,VLOOKUP($B$36,_Lookups!$DD:$DI,5,FALSE())))),"")</f>
        <v/>
      </c>
      <c r="E57" s="14">
        <f>IFERROR(IF(A54="","",INDIRECT("_Lookups!"&amp;ADDRESS(1+10,VLOOKUP($B$36,_Lookups!$DD:$DI,6,FALSE())))),"")</f>
        <v/>
      </c>
      <c r="F57" s="264" t="n"/>
      <c r="G57" s="251">
        <f>IFERROR(IF(OR(A54="",$B$37=""),"",IF(B54="Start",$B$37,IF(LEFT(B54,1)="+",$B$37+VALUE(SUBSTITUTE(SUBSTITUTE(B54,"+","")," hrs",""))/24,IF(LEFT(B54,3)="Day",$B$37+VALUE(MID(B54,5,10)),$B$37)))),"")</f>
        <v/>
      </c>
      <c r="H57" s="90" t="n"/>
      <c r="I57" s="5" t="n"/>
    </row>
    <row r="58" ht="15" customHeight="1">
      <c r="A58" s="14">
        <f>IFERROR(IF(VLOOKUP($B$36,_Lookups!$DD:$DI,2,FALSE())="","",IF(OR(INDIRECT("_Lookups!"&amp;ADDRESS(1+11,VLOOKUP($B$36,_Lookups!$DD:$DI,2,FALSE())))="",INDIRECT("_Lookups!"&amp;ADDRESS(1+11,VLOOKUP($B$36,_Lookups!$DD:$DI,2,FALSE())))=0),"",INDIRECT("_Lookups!"&amp;ADDRESS(1+11,VLOOKUP($B$36,_Lookups!$DD:$DI,2,FALSE()))))),"")</f>
        <v/>
      </c>
      <c r="H58" s="90" t="n"/>
      <c r="I58" s="5" t="n"/>
    </row>
    <row r="59" ht="15" customHeight="1">
      <c r="A59" s="91">
        <f>IFERROR(IF(VLOOKUP($B$36,_Lookups!$DD:$DI,2,FALSE())="","",IF(OR(INDIRECT("_Lookups!"&amp;ADDRESS(1+12,VLOOKUP($B$36,_Lookups!$DD:$DI,2,FALSE())))="",INDIRECT("_Lookups!"&amp;ADDRESS(1+12,VLOOKUP($B$36,_Lookups!$DD:$DI,2,FALSE())))=0),"",INDIRECT("_Lookups!"&amp;ADDRESS(1+12,VLOOKUP($B$36,_Lookups!$DD:$DI,2,FALSE()))))),"")</f>
        <v/>
      </c>
      <c r="B59" s="88">
        <f>IFERROR(IF(A56="","",INDIRECT("_Lookups!"&amp;ADDRESS(1+12,VLOOKUP($B$36,_Lookups!$DD:$DI,3,FALSE())))),"")</f>
        <v/>
      </c>
      <c r="C59" s="88">
        <f>IFERROR(IF(A56="","",INDIRECT("_Lookups!"&amp;ADDRESS(1+12,VLOOKUP($B$36,_Lookups!$DD:$DI,4,FALSE())))),"")</f>
        <v/>
      </c>
      <c r="D59" s="86">
        <f>IFERROR(IF(A56="","",INDIRECT("_Lookups!"&amp;ADDRESS(1+12,VLOOKUP($B$36,_Lookups!$DD:$DI,5,FALSE())))),"")</f>
        <v/>
      </c>
      <c r="E59" s="14">
        <f>IFERROR(IF(A56="","",INDIRECT("_Lookups!"&amp;ADDRESS(1+12,VLOOKUP($B$36,_Lookups!$DD:$DI,6,FALSE())))),"")</f>
        <v/>
      </c>
      <c r="F59" s="264" t="n"/>
      <c r="G59" s="251">
        <f>IFERROR(IF(OR(A56="",$B$37=""),"",IF(B56="Start",$B$37,IF(LEFT(B56,1)="+",$B$37+VALUE(SUBSTITUTE(SUBSTITUTE(B56,"+","")," hrs",""))/24,IF(LEFT(B56,3)="Day",$B$37+VALUE(MID(B56,5,10)),$B$37)))),"")</f>
        <v/>
      </c>
      <c r="H59" s="90" t="n"/>
      <c r="I59" s="5" t="n"/>
    </row>
    <row r="60" ht="15" customHeight="1">
      <c r="A60" s="15" t="n"/>
      <c r="B60" s="15" t="n"/>
      <c r="C60" s="15" t="n"/>
      <c r="D60" s="15" t="n"/>
      <c r="E60" s="15" t="n"/>
      <c r="F60" s="15" t="n"/>
      <c r="G60" s="5" t="n"/>
      <c r="H60" s="5" t="n"/>
      <c r="I60" s="5" t="n"/>
    </row>
    <row r="61" ht="15" customHeight="1">
      <c r="A61" s="163" t="inlineStr">
        <is>
          <t>MOROMI PLAN</t>
        </is>
      </c>
      <c r="H61" s="5" t="n"/>
      <c r="I61" s="5" t="n"/>
    </row>
    <row r="62" ht="15" customHeight="1">
      <c r="A62" s="5" t="inlineStr">
        <is>
          <t>Moromi method</t>
        </is>
      </c>
      <c r="B62" s="258" t="inlineStr">
        <is>
          <t>Select ▽</t>
        </is>
      </c>
      <c r="C62" s="92" t="n"/>
      <c r="D62" s="92" t="n"/>
      <c r="E62" s="92" t="n"/>
      <c r="F62" s="93" t="n"/>
      <c r="G62" s="5" t="n"/>
      <c r="H62" s="5" t="n"/>
      <c r="I62" s="5" t="n"/>
    </row>
    <row r="63" ht="15" customHeight="1">
      <c r="A63" s="5" t="inlineStr">
        <is>
          <t>Soe date (Day 0)</t>
        </is>
      </c>
      <c r="B63" s="261" t="n"/>
      <c r="H63" s="5" t="n"/>
      <c r="I63" s="5" t="n"/>
    </row>
    <row r="64" ht="15" customHeight="1">
      <c r="A64" s="5" t="inlineStr">
        <is>
          <t>Current day</t>
        </is>
      </c>
      <c r="B64" s="14">
        <f>IFERROR(IF(OR(B63="",ISBLANK(B63)),"",ROUND((NOW()-B63),0)),"")</f>
        <v/>
      </c>
      <c r="C64" s="92" t="n"/>
      <c r="D64" s="92" t="n"/>
      <c r="E64" s="92" t="n"/>
      <c r="F64" s="93" t="n"/>
      <c r="G64" s="5" t="n"/>
      <c r="H64" s="5" t="n"/>
      <c r="I64" s="5" t="n"/>
    </row>
    <row r="65" ht="15" customHeight="1">
      <c r="A65" s="5" t="n"/>
      <c r="B65" s="5" t="n"/>
      <c r="C65" s="92" t="n"/>
      <c r="D65" s="92" t="n"/>
      <c r="E65" s="92" t="n"/>
      <c r="F65" s="93" t="n"/>
      <c r="G65" s="5" t="n"/>
      <c r="H65" s="5" t="n"/>
      <c r="I65" s="5" t="n"/>
    </row>
    <row r="66" ht="15" customHeight="1">
      <c r="A66" s="163" t="inlineStr">
        <is>
          <t>STAGE SCHEDULE</t>
        </is>
      </c>
      <c r="H66" s="5" t="n"/>
      <c r="I66" s="5" t="n"/>
    </row>
    <row r="67" ht="15" customHeight="1">
      <c r="A67" s="263" t="inlineStr">
        <is>
          <t>Stage</t>
        </is>
      </c>
      <c r="B67" s="265" t="inlineStr">
        <is>
          <t>Day</t>
        </is>
      </c>
      <c r="C67" s="265" t="inlineStr">
        <is>
          <t>Kakemai</t>
        </is>
      </c>
      <c r="D67" s="266" t="inlineStr">
        <is>
          <t>Koji</t>
        </is>
      </c>
      <c r="E67" s="263" t="inlineStr">
        <is>
          <t>Water</t>
        </is>
      </c>
      <c r="F67" s="263" t="inlineStr">
        <is>
          <t>Date</t>
        </is>
      </c>
      <c r="G67" s="263" t="n"/>
      <c r="H67" s="161" t="n"/>
      <c r="I67" s="5" t="n"/>
    </row>
    <row r="68" ht="15" customHeight="1">
      <c r="A68" t="inlineStr">
        <is>
          <t>Soe</t>
        </is>
      </c>
      <c r="B68" s="267" t="n">
        <v>0</v>
      </c>
      <c r="C68" s="267">
        <f>IFERROR(_Allocations!B12,"")</f>
        <v/>
      </c>
      <c r="D68" s="268">
        <f>IFERROR(_Allocations!C12,"")</f>
        <v/>
      </c>
      <c r="E68" s="171">
        <f>IFERROR(_Allocations!D12,"")</f>
        <v/>
      </c>
      <c r="F68" s="257">
        <f>IFERROR(IF(B63="","",B63+0),"")</f>
        <v/>
      </c>
      <c r="G68" s="171" t="n"/>
      <c r="H68" s="254" t="n"/>
    </row>
    <row r="69" ht="15" customHeight="1">
      <c r="A69" t="inlineStr">
        <is>
          <t>Odori</t>
        </is>
      </c>
      <c r="B69" s="267" t="n">
        <v>1</v>
      </c>
      <c r="C69" s="267" t="inlineStr">
        <is>
          <t>"-"</t>
        </is>
      </c>
      <c r="D69" s="268" t="inlineStr">
        <is>
          <t>"-"</t>
        </is>
      </c>
      <c r="E69" s="171" t="inlineStr">
        <is>
          <t>"-"</t>
        </is>
      </c>
      <c r="F69" s="257">
        <f>IFERROR(IF(B63="","",B63+1),"")</f>
        <v/>
      </c>
      <c r="G69" s="269" t="n"/>
      <c r="H69" s="254" t="n"/>
    </row>
    <row r="70" ht="15" customHeight="1">
      <c r="A70" t="inlineStr">
        <is>
          <t>Naka</t>
        </is>
      </c>
      <c r="B70" s="267" t="n">
        <v>2</v>
      </c>
      <c r="C70" s="267">
        <f>IFERROR(_Allocations!B13,"")</f>
        <v/>
      </c>
      <c r="D70" s="268">
        <f>IFERROR(_Allocations!C13,"")</f>
        <v/>
      </c>
      <c r="E70" s="171">
        <f>IFERROR(_Allocations!D13,"")</f>
        <v/>
      </c>
      <c r="F70" s="257">
        <f>IFERROR(IF(B63="","",B63+2),"")</f>
        <v/>
      </c>
      <c r="G70" s="269" t="n"/>
      <c r="H70" s="254" t="n"/>
    </row>
    <row r="71" ht="15" customHeight="1">
      <c r="A71" t="inlineStr">
        <is>
          <t>Tome</t>
        </is>
      </c>
      <c r="B71" s="267" t="n">
        <v>3</v>
      </c>
      <c r="C71" s="171">
        <f>IFERROR(_Allocations!B14,"")</f>
        <v/>
      </c>
      <c r="D71" s="171">
        <f>IFERROR(_Allocations!C14,"")</f>
        <v/>
      </c>
      <c r="E71" s="171">
        <f>IFERROR(_Allocations!D14,"")</f>
        <v/>
      </c>
      <c r="F71" s="257">
        <f>IFERROR(IF(B63="","",B63+3),"")</f>
        <v/>
      </c>
      <c r="G71" s="171" t="n"/>
      <c r="H71" s="254" t="n"/>
    </row>
    <row r="72" ht="15" customHeight="1">
      <c r="A72" t="inlineStr">
        <is>
          <t>Yondan</t>
        </is>
      </c>
      <c r="B72" s="267" t="n">
        <v>9</v>
      </c>
      <c r="C72" s="267">
        <f>IFERROR(_Allocations!B15,"")</f>
        <v/>
      </c>
      <c r="D72" s="268">
        <f>IFERROR(_Allocations!C15,"")</f>
        <v/>
      </c>
      <c r="E72" s="171">
        <f>IFERROR(_Allocations!D15,"")</f>
        <v/>
      </c>
      <c r="F72" s="257">
        <f>IFERROR(IF(B63="","",B63+9),"")</f>
        <v/>
      </c>
      <c r="G72" s="269" t="n"/>
      <c r="H72" s="254" t="n"/>
    </row>
    <row r="73" ht="15" customHeight="1">
      <c r="B73" s="100" t="n"/>
      <c r="C73" s="100" t="n"/>
      <c r="D73" s="101" t="n"/>
      <c r="F73" s="102" t="n"/>
      <c r="G73" s="96" t="n"/>
    </row>
    <row r="74" ht="15" customHeight="1">
      <c r="A74" s="163" t="inlineStr">
        <is>
          <t>MOROMI WORKFLOW</t>
        </is>
      </c>
    </row>
    <row r="75" ht="15" customHeight="1">
      <c r="A75" s="270" t="inlineStr">
        <is>
          <t>Step</t>
        </is>
      </c>
      <c r="B75" s="271" t="inlineStr">
        <is>
          <t>Time</t>
        </is>
      </c>
      <c r="C75" s="271" t="inlineStr">
        <is>
          <t>Temp</t>
        </is>
      </c>
      <c r="D75" s="272" t="inlineStr">
        <is>
          <t>Foam</t>
        </is>
      </c>
      <c r="E75" s="270" t="inlineStr">
        <is>
          <t>Target</t>
        </is>
      </c>
      <c r="F75" s="273" t="inlineStr">
        <is>
          <t>Scheduled</t>
        </is>
      </c>
      <c r="G75" s="273" t="n"/>
      <c r="H75" s="162" t="n"/>
    </row>
    <row r="76" ht="15" customHeight="1">
      <c r="A76" s="34">
        <f>IFERROR(IF(VLOOKUP($B$62,_Lookups!$EA:$EF,2,FALSE())="","",IF(OR(INDIRECT("_Lookups!"&amp;ADDRESS(1+1,VLOOKUP($B$62,_Lookups!$EA:$EF,2,FALSE())))="",INDIRECT("_Lookups!"&amp;ADDRESS(1+1,VLOOKUP($B$62,_Lookups!$EA:$EF,2,FALSE())))=0),"",INDIRECT("_Lookups!"&amp;ADDRESS(1+1,VLOOKUP($B$62,_Lookups!$EA:$EF,2,FALSE()))))),"")</f>
        <v/>
      </c>
      <c r="B76" s="97">
        <f>IFERROR(IF(A73="","",INDIRECT("_Lookups!"&amp;ADDRESS(1+1,VLOOKUP($B$62,_Lookups!$EA:$EF,3,FALSE())))),"")</f>
        <v/>
      </c>
      <c r="C76" s="97">
        <f>IFERROR(IF(A73="","",INDIRECT("_Lookups!"&amp;ADDRESS(1+1,VLOOKUP($B$62,_Lookups!$EA:$EF,4,FALSE())))),"")</f>
        <v/>
      </c>
      <c r="D76" s="98">
        <f>IFERROR(IF(A73="","",INDIRECT("_Lookups!"&amp;ADDRESS(1+1,VLOOKUP($B$62,_Lookups!$EA:$EF,5,FALSE())))),"")</f>
        <v/>
      </c>
      <c r="E76" s="34">
        <f>IFERROR(IF(A73="","",INDIRECT("_Lookups!"&amp;ADDRESS(1+1,VLOOKUP($B$62,_Lookups!$EA:$EF,6,FALSE())))),"")</f>
        <v/>
      </c>
      <c r="F76" s="99">
        <f>IFERROR(IF(OR(A73="",$B$63=""),"",IF(LEFT(B73,3)="Day",$B$63+VALUE(MID(B73,5,2)),$B$63)),"")</f>
        <v/>
      </c>
      <c r="G76" s="269" t="n"/>
    </row>
    <row r="77" ht="15" customHeight="1">
      <c r="A77" s="34">
        <f>IFERROR(IF(VLOOKUP($B$62,_Lookups!$EA:$EF,2,FALSE())="","",IF(OR(INDIRECT("_Lookups!"&amp;ADDRESS(1+2,VLOOKUP($B$62,_Lookups!$EA:$EF,2,FALSE())))="",INDIRECT("_Lookups!"&amp;ADDRESS(1+2,VLOOKUP($B$62,_Lookups!$EA:$EF,2,FALSE())))=0),"",INDIRECT("_Lookups!"&amp;ADDRESS(1+2,VLOOKUP($B$62,_Lookups!$EA:$EF,2,FALSE()))))),"")</f>
        <v/>
      </c>
      <c r="B77" s="97">
        <f>IFERROR(IF(A74="","",INDIRECT("_Lookups!"&amp;ADDRESS(1+2,VLOOKUP($B$62,_Lookups!$EA:$EF,3,FALSE())))),"")</f>
        <v/>
      </c>
      <c r="C77" s="97">
        <f>IFERROR(IF(A74="","",INDIRECT("_Lookups!"&amp;ADDRESS(1+2,VLOOKUP($B$62,_Lookups!$EA:$EF,4,FALSE())))),"")</f>
        <v/>
      </c>
      <c r="D77" s="98">
        <f>IFERROR(IF(A74="","",INDIRECT("_Lookups!"&amp;ADDRESS(1+2,VLOOKUP($B$62,_Lookups!$EA:$EF,5,FALSE())))),"")</f>
        <v/>
      </c>
      <c r="E77" s="34">
        <f>IFERROR(IF(A74="","",INDIRECT("_Lookups!"&amp;ADDRESS(1+2,VLOOKUP($B$62,_Lookups!$EA:$EF,6,FALSE())))),"")</f>
        <v/>
      </c>
      <c r="F77" s="99">
        <f>IFERROR(IF(OR(A74="",$B$63=""),"",IF(LEFT(B74,3)="Day",$B$63+VALUE(MID(B74,5,2)),$B$63)),"")</f>
        <v/>
      </c>
      <c r="G77" s="257">
        <f>IFERROR(IF(B63="","",B63+0),"")</f>
        <v/>
      </c>
    </row>
    <row r="78" ht="15" customHeight="1">
      <c r="A78" s="34">
        <f>IFERROR(IF(VLOOKUP($B$62,_Lookups!$EA:$EF,2,FALSE())="","",IF(OR(INDIRECT("_Lookups!"&amp;ADDRESS(1+3,VLOOKUP($B$62,_Lookups!$EA:$EF,2,FALSE())))="",INDIRECT("_Lookups!"&amp;ADDRESS(1+3,VLOOKUP($B$62,_Lookups!$EA:$EF,2,FALSE())))=0),"",INDIRECT("_Lookups!"&amp;ADDRESS(1+3,VLOOKUP($B$62,_Lookups!$EA:$EF,2,FALSE()))))),"")</f>
        <v/>
      </c>
      <c r="B78" s="97">
        <f>IFERROR(IF(A75="","",INDIRECT("_Lookups!"&amp;ADDRESS(1+3,VLOOKUP($B$62,_Lookups!$EA:$EF,3,FALSE())))),"")</f>
        <v/>
      </c>
      <c r="C78" s="97">
        <f>IFERROR(IF(A75="","",INDIRECT("_Lookups!"&amp;ADDRESS(1+3,VLOOKUP($B$62,_Lookups!$EA:$EF,4,FALSE())))),"")</f>
        <v/>
      </c>
      <c r="D78" s="98">
        <f>IFERROR(IF(A75="","",INDIRECT("_Lookups!"&amp;ADDRESS(1+3,VLOOKUP($B$62,_Lookups!$EA:$EF,5,FALSE())))),"")</f>
        <v/>
      </c>
      <c r="E78" s="34">
        <f>IFERROR(IF(A75="","",INDIRECT("_Lookups!"&amp;ADDRESS(1+3,VLOOKUP($B$62,_Lookups!$EA:$EF,6,FALSE())))),"")</f>
        <v/>
      </c>
      <c r="F78" s="99">
        <f>IFERROR(IF(OR(A75="",$B$63=""),"",IF(LEFT(B75,3)="Day",$B$63+VALUE(MID(B75,5,2)),$B$63)),"")</f>
        <v/>
      </c>
      <c r="G78" s="257">
        <f>IFERROR(IF(B63="","",B63+1),"")</f>
        <v/>
      </c>
    </row>
    <row r="79" ht="15" customHeight="1">
      <c r="A79" s="34">
        <f>IFERROR(IF(VLOOKUP($B$62,_Lookups!$EA:$EF,2,FALSE())="","",IF(OR(INDIRECT("_Lookups!"&amp;ADDRESS(1+4,VLOOKUP($B$62,_Lookups!$EA:$EF,2,FALSE())))="",INDIRECT("_Lookups!"&amp;ADDRESS(1+4,VLOOKUP($B$62,_Lookups!$EA:$EF,2,FALSE())))=0),"",INDIRECT("_Lookups!"&amp;ADDRESS(1+4,VLOOKUP($B$62,_Lookups!$EA:$EF,2,FALSE()))))),"")</f>
        <v/>
      </c>
      <c r="B79" s="97">
        <f>IFERROR(IF(A76="","",INDIRECT("_Lookups!"&amp;ADDRESS(1+4,VLOOKUP($B$62,_Lookups!$EA:$EF,3,FALSE())))),"")</f>
        <v/>
      </c>
      <c r="C79" s="97">
        <f>IFERROR(IF(A76="","",INDIRECT("_Lookups!"&amp;ADDRESS(1+4,VLOOKUP($B$62,_Lookups!$EA:$EF,4,FALSE())))),"")</f>
        <v/>
      </c>
      <c r="D79" s="98">
        <f>IFERROR(IF(A76="","",INDIRECT("_Lookups!"&amp;ADDRESS(1+4,VLOOKUP($B$62,_Lookups!$EA:$EF,5,FALSE())))),"")</f>
        <v/>
      </c>
      <c r="E79" s="34">
        <f>IFERROR(IF(A76="","",INDIRECT("_Lookups!"&amp;ADDRESS(1+4,VLOOKUP($B$62,_Lookups!$EA:$EF,6,FALSE())))),"")</f>
        <v/>
      </c>
      <c r="F79" s="99">
        <f>IFERROR(IF(OR(A76="",$B$63=""),"",IF(LEFT(B76,3)="Day",$B$63+VALUE(MID(B76,5,2)),$B$63)),"")</f>
        <v/>
      </c>
      <c r="G79" s="257">
        <f>IFERROR(IF(B63="","",B63+2),"")</f>
        <v/>
      </c>
    </row>
    <row r="80" ht="15" customHeight="1">
      <c r="A80" s="34">
        <f>IFERROR(IF(VLOOKUP($B$62,_Lookups!$EA:$EF,2,FALSE())="","",IF(OR(INDIRECT("_Lookups!"&amp;ADDRESS(1+5,VLOOKUP($B$62,_Lookups!$EA:$EF,2,FALSE())))="",INDIRECT("_Lookups!"&amp;ADDRESS(1+5,VLOOKUP($B$62,_Lookups!$EA:$EF,2,FALSE())))=0),"",INDIRECT("_Lookups!"&amp;ADDRESS(1+5,VLOOKUP($B$62,_Lookups!$EA:$EF,2,FALSE()))))),"")</f>
        <v/>
      </c>
      <c r="B80" s="97">
        <f>IFERROR(IF(A77="","",INDIRECT("_Lookups!"&amp;ADDRESS(1+5,VLOOKUP($B$62,_Lookups!$EA:$EF,3,FALSE())))),"")</f>
        <v/>
      </c>
      <c r="C80" s="97">
        <f>IFERROR(IF(A77="","",INDIRECT("_Lookups!"&amp;ADDRESS(1+5,VLOOKUP($B$62,_Lookups!$EA:$EF,4,FALSE())))),"")</f>
        <v/>
      </c>
      <c r="D80" s="98">
        <f>IFERROR(IF(A77="","",INDIRECT("_Lookups!"&amp;ADDRESS(1+5,VLOOKUP($B$62,_Lookups!$EA:$EF,5,FALSE())))),"")</f>
        <v/>
      </c>
      <c r="E80" s="34">
        <f>IFERROR(IF(A77="","",INDIRECT("_Lookups!"&amp;ADDRESS(1+5,VLOOKUP($B$62,_Lookups!$EA:$EF,6,FALSE())))),"")</f>
        <v/>
      </c>
      <c r="F80" s="99">
        <f>IFERROR(IF(OR(A77="",$B$63=""),"",IF(LEFT(B77,3)="Day",$B$63+VALUE(MID(B77,5,2)),$B$63)),"")</f>
        <v/>
      </c>
      <c r="G80" s="257">
        <f>IFERROR(IF(B63="","",B63+3),"")</f>
        <v/>
      </c>
    </row>
    <row r="81" ht="15" customHeight="1">
      <c r="A81" s="34">
        <f>IFERROR(IF(VLOOKUP($B$62,_Lookups!$EA:$EF,2,FALSE())="","",IF(OR(INDIRECT("_Lookups!"&amp;ADDRESS(1+6,VLOOKUP($B$62,_Lookups!$EA:$EF,2,FALSE())))="",INDIRECT("_Lookups!"&amp;ADDRESS(1+6,VLOOKUP($B$62,_Lookups!$EA:$EF,2,FALSE())))=0),"",INDIRECT("_Lookups!"&amp;ADDRESS(1+6,VLOOKUP($B$62,_Lookups!$EA:$EF,2,FALSE()))))),"")</f>
        <v/>
      </c>
      <c r="B81" s="97">
        <f>IFERROR(IF(A78="","",INDIRECT("_Lookups!"&amp;ADDRESS(1+6,VLOOKUP($B$62,_Lookups!$EA:$EF,3,FALSE())))),"")</f>
        <v/>
      </c>
      <c r="C81" s="97">
        <f>IFERROR(IF(A78="","",INDIRECT("_Lookups!"&amp;ADDRESS(1+6,VLOOKUP($B$62,_Lookups!$EA:$EF,4,FALSE())))),"")</f>
        <v/>
      </c>
      <c r="D81" s="98">
        <f>IFERROR(IF(A78="","",INDIRECT("_Lookups!"&amp;ADDRESS(1+6,VLOOKUP($B$62,_Lookups!$EA:$EF,5,FALSE())))),"")</f>
        <v/>
      </c>
      <c r="E81" s="34">
        <f>IFERROR(IF(A78="","",INDIRECT("_Lookups!"&amp;ADDRESS(1+6,VLOOKUP($B$62,_Lookups!$EA:$EF,6,FALSE())))),"")</f>
        <v/>
      </c>
      <c r="F81" s="99">
        <f>IFERROR(IF(OR(A78="",$B$63=""),"",IF(LEFT(B78,3)="Day",$B$63+VALUE(MID(B78,5,2)),$B$63)),"")</f>
        <v/>
      </c>
      <c r="G81" s="257">
        <f>IFERROR(IF(B63="","",B63+5),"")</f>
        <v/>
      </c>
    </row>
    <row r="82" ht="15" customHeight="1">
      <c r="A82" s="34">
        <f>IFERROR(IF(VLOOKUP($B$62,_Lookups!$EA:$EF,2,FALSE())="","",IF(OR(INDIRECT("_Lookups!"&amp;ADDRESS(1+7,VLOOKUP($B$62,_Lookups!$EA:$EF,2,FALSE())))="",INDIRECT("_Lookups!"&amp;ADDRESS(1+7,VLOOKUP($B$62,_Lookups!$EA:$EF,2,FALSE())))=0),"",INDIRECT("_Lookups!"&amp;ADDRESS(1+7,VLOOKUP($B$62,_Lookups!$EA:$EF,2,FALSE()))))),"")</f>
        <v/>
      </c>
      <c r="B82" s="97">
        <f>IFERROR(IF(A79="","",INDIRECT("_Lookups!"&amp;ADDRESS(1+7,VLOOKUP($B$62,_Lookups!$EA:$EF,3,FALSE())))),"")</f>
        <v/>
      </c>
      <c r="C82" s="97">
        <f>IFERROR(IF(A79="","",INDIRECT("_Lookups!"&amp;ADDRESS(1+7,VLOOKUP($B$62,_Lookups!$EA:$EF,4,FALSE())))),"")</f>
        <v/>
      </c>
      <c r="D82" s="98">
        <f>IFERROR(IF(A79="","",INDIRECT("_Lookups!"&amp;ADDRESS(1+7,VLOOKUP($B$62,_Lookups!$EA:$EF,5,FALSE())))),"")</f>
        <v/>
      </c>
      <c r="E82" s="34">
        <f>IFERROR(IF(A79="","",INDIRECT("_Lookups!"&amp;ADDRESS(1+7,VLOOKUP($B$62,_Lookups!$EA:$EF,6,FALSE())))),"")</f>
        <v/>
      </c>
      <c r="F82" s="99">
        <f>IFERROR(IF(OR(A79="",$B$63=""),"",IF(LEFT(B79,3)="Day",$B$63+VALUE(MID(B79,5,2)),$B$63)),"")</f>
        <v/>
      </c>
      <c r="G82" s="257">
        <f>IFERROR(IF(B63="","",B63+7),"")</f>
        <v/>
      </c>
    </row>
    <row r="83" ht="15" customHeight="1">
      <c r="A83" s="34">
        <f>IFERROR(IF(VLOOKUP($B$62,_Lookups!$EA:$EF,2,FALSE())="","",IF(OR(INDIRECT("_Lookups!"&amp;ADDRESS(1+8,VLOOKUP($B$62,_Lookups!$EA:$EF,2,FALSE())))="",INDIRECT("_Lookups!"&amp;ADDRESS(1+8,VLOOKUP($B$62,_Lookups!$EA:$EF,2,FALSE())))=0),"",INDIRECT("_Lookups!"&amp;ADDRESS(1+8,VLOOKUP($B$62,_Lookups!$EA:$EF,2,FALSE()))))),"")</f>
        <v/>
      </c>
      <c r="B83" s="97">
        <f>IFERROR(IF(A80="","",INDIRECT("_Lookups!"&amp;ADDRESS(1+8,VLOOKUP($B$62,_Lookups!$EA:$EF,3,FALSE())))),"")</f>
        <v/>
      </c>
      <c r="C83" s="97">
        <f>IFERROR(IF(A80="","",INDIRECT("_Lookups!"&amp;ADDRESS(1+8,VLOOKUP($B$62,_Lookups!$EA:$EF,4,FALSE())))),"")</f>
        <v/>
      </c>
      <c r="D83" s="98">
        <f>IFERROR(IF(A80="","",INDIRECT("_Lookups!"&amp;ADDRESS(1+8,VLOOKUP($B$62,_Lookups!$EA:$EF,5,FALSE())))),"")</f>
        <v/>
      </c>
      <c r="E83" s="34">
        <f>IFERROR(IF(A80="","",INDIRECT("_Lookups!"&amp;ADDRESS(1+8,VLOOKUP($B$62,_Lookups!$EA:$EF,6,FALSE())))),"")</f>
        <v/>
      </c>
      <c r="F83" s="99">
        <f>IFERROR(IF(OR(A80="",$B$63=""),"",IF(LEFT(B80,3)="Day",$B$63+VALUE(MID(B80,5,2)),$B$63)),"")</f>
        <v/>
      </c>
      <c r="G83" s="257">
        <f>IFERROR(IF(B63="","",B63+10),"")</f>
        <v/>
      </c>
    </row>
    <row r="84" ht="15" customHeight="1">
      <c r="A84" s="34">
        <f>IFERROR(IF(VLOOKUP($B$62,_Lookups!$EA:$EF,2,FALSE())="","",IF(OR(INDIRECT("_Lookups!"&amp;ADDRESS(1+9,VLOOKUP($B$62,_Lookups!$EA:$EF,2,FALSE())))="",INDIRECT("_Lookups!"&amp;ADDRESS(1+9,VLOOKUP($B$62,_Lookups!$EA:$EF,2,FALSE())))=0),"",INDIRECT("_Lookups!"&amp;ADDRESS(1+9,VLOOKUP($B$62,_Lookups!$EA:$EF,2,FALSE()))))),"")</f>
        <v/>
      </c>
      <c r="B84" s="97">
        <f>IFERROR(IF(A81="","",INDIRECT("_Lookups!"&amp;ADDRESS(1+9,VLOOKUP($B$62,_Lookups!$EA:$EF,3,FALSE())))),"")</f>
        <v/>
      </c>
      <c r="C84" s="97">
        <f>IFERROR(IF(A81="","",INDIRECT("_Lookups!"&amp;ADDRESS(1+9,VLOOKUP($B$62,_Lookups!$EA:$EF,4,FALSE())))),"")</f>
        <v/>
      </c>
      <c r="D84" s="98">
        <f>IFERROR(IF(A81="","",INDIRECT("_Lookups!"&amp;ADDRESS(1+9,VLOOKUP($B$62,_Lookups!$EA:$EF,5,FALSE())))),"")</f>
        <v/>
      </c>
      <c r="E84" s="34">
        <f>IFERROR(IF(A81="","",INDIRECT("_Lookups!"&amp;ADDRESS(1+9,VLOOKUP($B$62,_Lookups!$EA:$EF,6,FALSE())))),"")</f>
        <v/>
      </c>
      <c r="F84" s="99">
        <f>IFERROR(IF(OR(A81="",$B$63=""),"",IF(LEFT(B81,3)="Day",$B$63+VALUE(MID(B81,5,2)),$B$63)),"")</f>
        <v/>
      </c>
      <c r="G84" s="257">
        <f>IFERROR(IF(B63="","",B63+11),"")</f>
        <v/>
      </c>
    </row>
    <row r="85" ht="15" customHeight="1">
      <c r="A85" s="34">
        <f>IFERROR(IF(VLOOKUP($B$62,_Lookups!$EA:$EF,2,FALSE())="","",IF(OR(INDIRECT("_Lookups!"&amp;ADDRESS(1+10,VLOOKUP($B$62,_Lookups!$EA:$EF,2,FALSE())))="",INDIRECT("_Lookups!"&amp;ADDRESS(1+10,VLOOKUP($B$62,_Lookups!$EA:$EF,2,FALSE())))=0),"",INDIRECT("_Lookups!"&amp;ADDRESS(1+10,VLOOKUP($B$62,_Lookups!$EA:$EF,2,FALSE()))))),"")</f>
        <v/>
      </c>
      <c r="B85" s="97">
        <f>IFERROR(IF(A82="","",INDIRECT("_Lookups!"&amp;ADDRESS(1+10,VLOOKUP($B$62,_Lookups!$EA:$EF,3,FALSE())))),"")</f>
        <v/>
      </c>
      <c r="C85" s="97">
        <f>IFERROR(IF(A82="","",INDIRECT("_Lookups!"&amp;ADDRESS(1+10,VLOOKUP($B$62,_Lookups!$EA:$EF,4,FALSE())))),"")</f>
        <v/>
      </c>
      <c r="D85" s="98">
        <f>IFERROR(IF(A82="","",INDIRECT("_Lookups!"&amp;ADDRESS(1+10,VLOOKUP($B$62,_Lookups!$EA:$EF,5,FALSE())))),"")</f>
        <v/>
      </c>
      <c r="E85" s="34">
        <f>IFERROR(IF(A82="","",INDIRECT("_Lookups!"&amp;ADDRESS(1+10,VLOOKUP($B$62,_Lookups!$EA:$EF,6,FALSE())))),"")</f>
        <v/>
      </c>
      <c r="F85" s="99">
        <f>IFERROR(IF(OR(A82="",$B$63=""),"",IF(LEFT(B82,3)="Day",$B$63+VALUE(MID(B82,5,2)),$B$63)),"")</f>
        <v/>
      </c>
      <c r="G85" s="257">
        <f>IFERROR(IF(B63="","",B63+14),"")</f>
        <v/>
      </c>
    </row>
    <row r="86" ht="15" customHeight="1">
      <c r="A86" s="34">
        <f>IFERROR(IF(VLOOKUP($B$62,_Lookups!$EA:$EF,2,FALSE())="","",IF(OR(INDIRECT("_Lookups!"&amp;ADDRESS(1+11,VLOOKUP($B$62,_Lookups!$EA:$EF,2,FALSE())))="",INDIRECT("_Lookups!"&amp;ADDRESS(1+11,VLOOKUP($B$62,_Lookups!$EA:$EF,2,FALSE())))=0),"",INDIRECT("_Lookups!"&amp;ADDRESS(1+11,VLOOKUP($B$62,_Lookups!$EA:$EF,2,FALSE()))))),"")</f>
        <v/>
      </c>
      <c r="B86" s="97">
        <f>IFERROR(IF(A83="","",INDIRECT("_Lookups!"&amp;ADDRESS(1+11,VLOOKUP($B$62,_Lookups!$EA:$EF,3,FALSE())))),"")</f>
        <v/>
      </c>
      <c r="C86" s="97">
        <f>IFERROR(IF(A83="","",INDIRECT("_Lookups!"&amp;ADDRESS(1+11,VLOOKUP($B$62,_Lookups!$EA:$EF,4,FALSE())))),"")</f>
        <v/>
      </c>
      <c r="D86" s="98">
        <f>IFERROR(IF(A83="","",INDIRECT("_Lookups!"&amp;ADDRESS(1+11,VLOOKUP($B$62,_Lookups!$EA:$EF,5,FALSE())))),"")</f>
        <v/>
      </c>
      <c r="E86" s="34">
        <f>IFERROR(IF(A83="","",INDIRECT("_Lookups!"&amp;ADDRESS(1+11,VLOOKUP($B$62,_Lookups!$EA:$EF,6,FALSE())))),"")</f>
        <v/>
      </c>
      <c r="F86" s="99">
        <f>IFERROR(IF(OR(A83="",$B$63=""),"",IF(LEFT(B83,3)="Day",$B$63+VALUE(MID(B83,5,2)),$B$63)),"")</f>
        <v/>
      </c>
      <c r="G86" s="257">
        <f>IFERROR(IF(B63="","",B63+17),"")</f>
        <v/>
      </c>
    </row>
    <row r="87" ht="15" customHeight="1">
      <c r="A87" s="171">
        <f>IFERROR(IF(VLOOKUP($B$62,_Lookups!$EA:$EF,2,FALSE())="","",IF(OR(INDIRECT("_Lookups!"&amp;ADDRESS(1+12,VLOOKUP($B$62,_Lookups!$EA:$EF,2,FALSE())))="",INDIRECT("_Lookups!"&amp;ADDRESS(1+12,VLOOKUP($B$62,_Lookups!$EA:$EF,2,FALSE())))=0),"",INDIRECT("_Lookups!"&amp;ADDRESS(1+12,VLOOKUP($B$62,_Lookups!$EA:$EF,2,FALSE()))))),"")</f>
        <v/>
      </c>
      <c r="B87" s="171">
        <f>IFERROR(IF(A84="","",INDIRECT("_Lookups!"&amp;ADDRESS(1+12,VLOOKUP($B$62,_Lookups!$EA:$EF,3,FALSE())))),"")</f>
        <v/>
      </c>
      <c r="C87" s="171">
        <f>IFERROR(IF(A84="","",INDIRECT("_Lookups!"&amp;ADDRESS(1+12,VLOOKUP($B$62,_Lookups!$EA:$EF,4,FALSE())))),"")</f>
        <v/>
      </c>
      <c r="D87" s="171">
        <f>IFERROR(IF(A84="","",INDIRECT("_Lookups!"&amp;ADDRESS(1+12,VLOOKUP($B$62,_Lookups!$EA:$EF,5,FALSE())))),"")</f>
        <v/>
      </c>
      <c r="E87" s="171">
        <f>IFERROR(IF(A84="","",INDIRECT("_Lookups!"&amp;ADDRESS(1+12,VLOOKUP($B$62,_Lookups!$EA:$EF,6,FALSE())))),"")</f>
        <v/>
      </c>
      <c r="F87" s="255">
        <f>IFERROR(IF(OR(A84="",$B$63=""),"",IF(LEFT(B84,3)="Day",$B$63+VALUE(MID(B84,5,2)),$B$63)),"")</f>
        <v/>
      </c>
      <c r="G87" s="257">
        <f>IFERROR(IF(B63="","",B63+21),"")</f>
        <v/>
      </c>
    </row>
    <row r="88" ht="15" customHeight="1">
      <c r="A88" s="34">
        <f>IFERROR(IF(VLOOKUP($B$62,_Lookups!$EA:$EF,2,FALSE())="","",IF(OR(INDIRECT("_Lookups!"&amp;ADDRESS(1+13,VLOOKUP($B$62,_Lookups!$EA:$EF,2,FALSE())))="",INDIRECT("_Lookups!"&amp;ADDRESS(1+13,VLOOKUP($B$62,_Lookups!$EA:$EF,2,FALSE())))=0),"",INDIRECT("_Lookups!"&amp;ADDRESS(1+13,VLOOKUP($B$62,_Lookups!$EA:$EF,2,FALSE()))))),"")</f>
        <v/>
      </c>
      <c r="B88" s="34">
        <f>IFERROR(IF(A85="","",INDIRECT("_Lookups!"&amp;ADDRESS(1+13,VLOOKUP($B$62,_Lookups!$EA:$EF,3,FALSE())))),"")</f>
        <v/>
      </c>
      <c r="C88" s="34">
        <f>IFERROR(IF(A85="","",INDIRECT("_Lookups!"&amp;ADDRESS(1+13,VLOOKUP($B$62,_Lookups!$EA:$EF,4,FALSE())))),"")</f>
        <v/>
      </c>
      <c r="D88" s="34">
        <f>IFERROR(IF(A85="","",INDIRECT("_Lookups!"&amp;ADDRESS(1+13,VLOOKUP($B$62,_Lookups!$EA:$EF,5,FALSE())))),"")</f>
        <v/>
      </c>
      <c r="E88" s="34">
        <f>IFERROR(IF(A85="","",INDIRECT("_Lookups!"&amp;ADDRESS(1+13,VLOOKUP($B$62,_Lookups!$EA:$EF,6,FALSE())))),"")</f>
        <v/>
      </c>
      <c r="F88" s="99">
        <f>IFERROR(IF(OR(A85="",$B$63=""),"",IF(LEFT(B85,3)="Day",$B$63+VALUE(MID(B85,5,2)),$B$63)),"")</f>
        <v/>
      </c>
      <c r="G88" s="257">
        <f>IFERROR(IF(B63="","",B63+24),"")</f>
        <v/>
      </c>
    </row>
    <row r="89" ht="15" customHeight="1">
      <c r="A89" s="15" t="n"/>
      <c r="C89" s="15" t="n"/>
    </row>
    <row r="90" ht="15" customHeight="1">
      <c r="A90" s="21" t="inlineStr">
        <is>
          <t>EQUIPMENT LIST</t>
        </is>
      </c>
    </row>
    <row r="91" ht="15" customHeight="1">
      <c r="A91" s="103" t="inlineStr">
        <is>
          <t>Category</t>
        </is>
      </c>
      <c r="B91" s="103" t="inlineStr">
        <is>
          <t>Item</t>
        </is>
      </c>
      <c r="C91" s="103" t="inlineStr">
        <is>
          <t>Japanese</t>
        </is>
      </c>
      <c r="D91" s="103" t="inlineStr">
        <is>
          <t>Qty</t>
        </is>
      </c>
      <c r="E91" s="103" t="inlineStr">
        <is>
          <t>Size/Capacity</t>
        </is>
      </c>
      <c r="F91" s="103" t="inlineStr">
        <is>
          <t>Notes</t>
        </is>
      </c>
      <c r="G91" s="103" t="inlineStr">
        <is>
          <t>Have?</t>
        </is>
      </c>
    </row>
    <row r="92" ht="15" customHeight="1">
      <c r="A92" s="15" t="inlineStr">
        <is>
          <t>RICE PREP</t>
        </is>
      </c>
      <c r="B92" t="inlineStr">
        <is>
          <t>Washing bags</t>
        </is>
      </c>
      <c r="C92" t="inlineStr">
        <is>
          <t>Kome-bukuro</t>
        </is>
      </c>
      <c r="D92" s="97">
        <f>IFERROR(IF(Recipe!B4="","",CEILING(MAX(_Allocations!B12:B14)/5,1)),"")</f>
        <v/>
      </c>
      <c r="E92" s="34" t="inlineStr">
        <is>
          <t>5 kg each</t>
        </is>
      </c>
      <c r="F92" t="inlineStr">
        <is>
          <t>22" square draw-string</t>
        </is>
      </c>
      <c r="G92" t="inlineStr">
        <is>
          <t>☐</t>
        </is>
      </c>
    </row>
    <row r="93" ht="15" customHeight="1">
      <c r="A93" s="5" t="n"/>
      <c r="B93" t="inlineStr">
        <is>
          <t>Soaking vessel</t>
        </is>
      </c>
      <c r="C93" t="inlineStr">
        <is>
          <t>Shinseki-oke</t>
        </is>
      </c>
      <c r="D93" s="97" t="n">
        <v>1</v>
      </c>
      <c r="E93" s="34">
        <f>IFERROR(IF(Recipe!B4="","",CEILING(Recipe!B4*1.5,5)&amp;" L"),"")</f>
        <v/>
      </c>
      <c r="F93" t="inlineStr">
        <is>
          <t>Water = 1.5× rice weight</t>
        </is>
      </c>
      <c r="G93" t="inlineStr">
        <is>
          <t>☐</t>
        </is>
      </c>
    </row>
    <row r="94" ht="15" customHeight="1">
      <c r="A94" s="5" t="n"/>
      <c r="B94" t="inlineStr">
        <is>
          <t>Draining baskets</t>
        </is>
      </c>
      <c r="C94" t="inlineStr">
        <is>
          <t>Zaru</t>
        </is>
      </c>
      <c r="D94" s="97">
        <f>IFERROR(IF(_Allocations!B14="","",CEILING(MAX(_Allocations!B12:B14)/3,1)),"")</f>
        <v/>
      </c>
      <c r="E94" s="34" t="inlineStr">
        <is>
          <t>3-5 kg each</t>
        </is>
      </c>
      <c r="F94" t="inlineStr">
        <is>
          <t>For largest stage</t>
        </is>
      </c>
      <c r="G94" t="inlineStr">
        <is>
          <t>☐</t>
        </is>
      </c>
    </row>
    <row r="95" ht="16.5" customHeight="1">
      <c r="A95" s="15" t="inlineStr">
        <is>
          <t>STEAMING</t>
        </is>
      </c>
      <c r="B95" t="inlineStr">
        <is>
          <t>Koshiki/steamer</t>
        </is>
      </c>
      <c r="C95" s="104" t="inlineStr">
        <is>
          <t>甑</t>
        </is>
      </c>
      <c r="D95" s="97" t="n">
        <v>1</v>
      </c>
      <c r="E95" s="34">
        <f>IFERROR(IF(Recipe!B4="","",CEILING(MAX(_Allocations!B12:B14,Plan!B10)*1.3,5)&amp;" kg"),"")</f>
        <v/>
      </c>
      <c r="F95" t="inlineStr">
        <is>
          <t>Capacity for largest batch</t>
        </is>
      </c>
      <c r="G95" t="inlineStr">
        <is>
          <t>☐</t>
        </is>
      </c>
    </row>
    <row r="96" ht="16.5" customHeight="1">
      <c r="A96" s="5" t="n"/>
      <c r="B96" t="inlineStr">
        <is>
          <t>Steamer cloths</t>
        </is>
      </c>
      <c r="C96" t="inlineStr">
        <is>
          <t>Mushi-nuno</t>
        </is>
      </c>
      <c r="D96" s="97">
        <f>IFERROR(IF(Recipe!B4="","",CEILING(MAX(_Allocations!B12:B14)*1.3/5,1)+1),"")</f>
        <v/>
      </c>
      <c r="E96" s="34" t="inlineStr">
        <is>
          <t>28"×40"</t>
        </is>
      </c>
      <c r="F96" t="inlineStr">
        <is>
          <t>One per 5kg + spare</t>
        </is>
      </c>
      <c r="G96" t="inlineStr">
        <is>
          <t>☐</t>
        </is>
      </c>
    </row>
    <row r="97" ht="16.5" customHeight="1">
      <c r="A97" s="5" t="n"/>
      <c r="B97" t="inlineStr">
        <is>
          <t>Cooling surface</t>
        </is>
      </c>
      <c r="C97" t="inlineStr">
        <is>
          <t>Hōrei-dai</t>
        </is>
      </c>
      <c r="D97" s="97" t="n">
        <v>1</v>
      </c>
      <c r="E97" s="34">
        <f>IFERROR(IF(Recipe!B4="","",ROUND(MAX(_Allocations!B12:B14)*1.3/20,1)&amp;" sq m"),"")</f>
        <v/>
      </c>
      <c r="F97" t="inlineStr">
        <is>
          <t>Metal or cloth spread</t>
        </is>
      </c>
      <c r="G97" t="inlineStr">
        <is>
          <t>☐</t>
        </is>
      </c>
    </row>
    <row r="98" ht="15" customHeight="1">
      <c r="A98" s="15" t="inlineStr">
        <is>
          <t>KOJI</t>
        </is>
      </c>
      <c r="B98" t="inlineStr">
        <is>
          <t>Koji trays (futa)</t>
        </is>
      </c>
      <c r="C98" t="inlineStr">
        <is>
          <t>Koji-buta 蓋</t>
        </is>
      </c>
      <c r="D98" s="97">
        <f>IFERROR(IF(Plan!B10="","",IF(Plan!B39="Futa-koji (trays)",CEILING(Plan!B10*1.3/1.5,1),"-")),"-")</f>
        <v/>
      </c>
      <c r="E98" s="34" t="inlineStr">
        <is>
          <t>1.5 kg each</t>
        </is>
      </c>
      <c r="F98" t="inlineStr">
        <is>
          <t>Traditional method</t>
        </is>
      </c>
      <c r="G98" t="inlineStr">
        <is>
          <t>☐</t>
        </is>
      </c>
    </row>
    <row r="99" ht="16.5" customHeight="1">
      <c r="A99" s="5" t="n"/>
      <c r="B99" t="inlineStr">
        <is>
          <t>Koji tubs (Ueda)</t>
        </is>
      </c>
      <c r="C99" t="inlineStr">
        <is>
          <t>Tarai 盥</t>
        </is>
      </c>
      <c r="D99" s="97">
        <f>IFERROR(IF(Plan!B10="","",IF(Plan!B39="Ueda (tubs)",CEILING(Plan!B10*1.3/15,1),"-")),"-")</f>
        <v/>
      </c>
      <c r="E99" s="34" t="inlineStr">
        <is>
          <t>15 kg each</t>
        </is>
      </c>
      <c r="F99" t="inlineStr">
        <is>
          <t>Modern method</t>
        </is>
      </c>
      <c r="G99" t="inlineStr">
        <is>
          <t>☐</t>
        </is>
      </c>
    </row>
    <row r="100" ht="15" customHeight="1">
      <c r="A100" s="5" t="n"/>
      <c r="B100" t="inlineStr">
        <is>
          <t>Koji boxes</t>
        </is>
      </c>
      <c r="C100" t="inlineStr">
        <is>
          <t>Hako 箱</t>
        </is>
      </c>
      <c r="D100" s="97">
        <f>IFERROR(IF(Plan!B10="","",IF(Plan!B39="Hako-koji (boxes)",CEILING(Plan!B10*1.3/10,1),"-")),"-")</f>
        <v/>
      </c>
      <c r="E100" s="34" t="inlineStr">
        <is>
          <t>10 kg each</t>
        </is>
      </c>
      <c r="F100" t="inlineStr">
        <is>
          <t>Box method</t>
        </is>
      </c>
      <c r="G100" t="inlineStr">
        <is>
          <t>☐</t>
        </is>
      </c>
    </row>
    <row r="101" ht="15" customHeight="1">
      <c r="A101" s="5" t="n"/>
      <c r="B101" t="inlineStr">
        <is>
          <t>Wrapping cloths</t>
        </is>
      </c>
      <c r="C101" t="inlineStr">
        <is>
          <t>Tsutsumi-nuno</t>
        </is>
      </c>
      <c r="D101" s="97">
        <f>IFERROR(IF(Plan!B10="","",CEILING(Plan!B10*1.3/5,1)),"-")</f>
        <v/>
      </c>
      <c r="E101" s="34" t="inlineStr">
        <is>
          <t>Cotton</t>
        </is>
      </c>
      <c r="F101" t="inlineStr">
        <is>
          <t>For bundling</t>
        </is>
      </c>
      <c r="G101" t="inlineStr">
        <is>
          <t>☐</t>
        </is>
      </c>
    </row>
    <row r="102" ht="15" customHeight="1">
      <c r="A102" s="5" t="n"/>
      <c r="B102" t="inlineStr">
        <is>
          <t>Incubator/muro</t>
        </is>
      </c>
      <c r="C102" t="inlineStr">
        <is>
          <t>Koji-muro 室</t>
        </is>
      </c>
      <c r="D102" s="97" t="n">
        <v>1</v>
      </c>
      <c r="E102" s="34" t="inlineStr">
        <is>
          <t>28-42°C</t>
        </is>
      </c>
      <c r="F102" t="inlineStr">
        <is>
          <t>Temp/humidity controlled</t>
        </is>
      </c>
      <c r="G102" t="inlineStr">
        <is>
          <t>☐</t>
        </is>
      </c>
    </row>
    <row r="103" ht="15" customHeight="1">
      <c r="A103" s="15" t="inlineStr">
        <is>
          <t>MOTO</t>
        </is>
      </c>
      <c r="B103" t="inlineStr">
        <is>
          <t>Moto vessel</t>
        </is>
      </c>
      <c r="C103" t="inlineStr">
        <is>
          <t>Shubo-oke</t>
        </is>
      </c>
      <c r="D103" s="97" t="n">
        <v>1</v>
      </c>
      <c r="E103" s="34">
        <f>IFERROR(IF(_Allocations!B11="","",CEILING((_Allocations!B11*1.3+_Allocations!D11)*1.5,5)&amp;" L"),"")</f>
        <v/>
      </c>
      <c r="F103" t="inlineStr">
        <is>
          <t>Volume × 1.5 headspace</t>
        </is>
      </c>
      <c r="G103" t="inlineStr">
        <is>
          <t>☐</t>
        </is>
      </c>
    </row>
    <row r="104" ht="15" customHeight="1">
      <c r="A104" s="5" t="n"/>
      <c r="B104" t="inlineStr">
        <is>
          <t>Hangiri tubs (kimoto)</t>
        </is>
      </c>
      <c r="C104" s="104" t="inlineStr">
        <is>
          <t>半切</t>
        </is>
      </c>
      <c r="D104" s="97">
        <f>IFERROR(IF(Plan!B36="Select","",IF(OR(Plan!B36="Kimoto",Plan!B36="Yamahai"),8,"-")),"")</f>
        <v/>
      </c>
      <c r="E104" s="34" t="inlineStr">
        <is>
          <t>5-10 L each</t>
        </is>
      </c>
      <c r="F104" t="inlineStr">
        <is>
          <t>For temoto division</t>
        </is>
      </c>
      <c r="G104" t="inlineStr">
        <is>
          <t>☐</t>
        </is>
      </c>
    </row>
    <row r="105" ht="15" customHeight="1">
      <c r="A105" s="5" t="n"/>
      <c r="B105" t="inlineStr">
        <is>
          <t>Kai paddle (kimoto)</t>
        </is>
      </c>
      <c r="C105" s="104" t="inlineStr">
        <is>
          <t>櫂</t>
        </is>
      </c>
      <c r="D105" s="97">
        <f>IFERROR(IF(Plan!B36="Select","",IF(OR(Plan!B36="Kimoto",Plan!B36="Yamahai"),1,"-")),"")</f>
        <v/>
      </c>
      <c r="E105" s="34" t="inlineStr">
        <is>
          <t>1-2 m long</t>
        </is>
      </c>
      <c r="F105" t="inlineStr">
        <is>
          <t>For yamaoroshi</t>
        </is>
      </c>
      <c r="G105" t="inlineStr">
        <is>
          <t>☐</t>
        </is>
      </c>
    </row>
    <row r="106" ht="15" customHeight="1">
      <c r="A106" s="5" t="n"/>
      <c r="B106" t="inlineStr">
        <is>
          <t>Daki-daru warmers</t>
        </is>
      </c>
      <c r="C106" s="104" t="inlineStr">
        <is>
          <t>抱樽</t>
        </is>
      </c>
      <c r="D106" s="97">
        <f>IFERROR(IF(Plan!B36="Select","",IF(OR(Plan!B36="Kimoto",Plan!B36="Yamahai"),4,"-")),"")</f>
        <v/>
      </c>
      <c r="E106" s="34" t="inlineStr">
        <is>
          <t>Hot water jugs</t>
        </is>
      </c>
      <c r="F106" t="inlineStr">
        <is>
          <t>For warming moto</t>
        </is>
      </c>
      <c r="G106" t="inlineStr">
        <is>
          <t>☐</t>
        </is>
      </c>
    </row>
    <row r="107" ht="16.5" customHeight="1">
      <c r="A107" s="15" t="inlineStr">
        <is>
          <t>MOROMI</t>
        </is>
      </c>
      <c r="B107" t="inlineStr">
        <is>
          <t>Primary fermenter</t>
        </is>
      </c>
      <c r="C107" t="inlineStr">
        <is>
          <t>Moromi-oke</t>
        </is>
      </c>
      <c r="D107" s="97" t="n">
        <v>1</v>
      </c>
      <c r="E107" s="34">
        <f>IFERROR(IF(_Allocations!B6="","",CEILING(_Allocations!B6*2,10)&amp;" L"),"")</f>
        <v/>
      </c>
      <c r="F107" t="inlineStr">
        <is>
          <t>2× volume for foam</t>
        </is>
      </c>
      <c r="G107" t="inlineStr">
        <is>
          <t>☐</t>
        </is>
      </c>
    </row>
    <row r="108" ht="15" customHeight="1">
      <c r="A108" s="5" t="n"/>
      <c r="B108" t="inlineStr">
        <is>
          <t>Kai/paddle</t>
        </is>
      </c>
      <c r="C108" s="104" t="inlineStr">
        <is>
          <t>櫂</t>
        </is>
      </c>
      <c r="D108" s="97" t="n">
        <v>1</v>
      </c>
      <c r="E108" s="34" t="inlineStr">
        <is>
          <t>Long</t>
        </is>
      </c>
      <c r="F108" t="inlineStr">
        <is>
          <t>For twice-daily stirring</t>
        </is>
      </c>
      <c r="G108" t="inlineStr">
        <is>
          <t>☐</t>
        </is>
      </c>
    </row>
    <row r="109" ht="15" customHeight="1">
      <c r="A109" s="5" t="n"/>
      <c r="B109" t="inlineStr">
        <is>
          <t>Airlock/cover</t>
        </is>
      </c>
      <c r="D109" s="97" t="n">
        <v>1</v>
      </c>
      <c r="E109" s="34" t="inlineStr">
        <is>
          <t>Loose-fit</t>
        </is>
      </c>
      <c r="F109" t="inlineStr">
        <is>
          <t>Allows CO2 escape</t>
        </is>
      </c>
      <c r="G109" t="inlineStr">
        <is>
          <t>☐</t>
        </is>
      </c>
    </row>
    <row r="110" ht="15" customHeight="1">
      <c r="A110" s="15" t="inlineStr">
        <is>
          <t>PRESSING</t>
        </is>
      </c>
      <c r="B110" t="inlineStr">
        <is>
          <t>Press bags</t>
        </is>
      </c>
      <c r="C110" t="inlineStr">
        <is>
          <t>Sakabukuro 酒袋</t>
        </is>
      </c>
      <c r="D110" s="97">
        <f>IFERROR(IF(_Allocations!B6="","",CEILING(_Allocations!B6/6,1)),"-")</f>
        <v/>
      </c>
      <c r="E110" s="34" t="inlineStr">
        <is>
          <t>6 L each</t>
        </is>
      </c>
      <c r="F110" t="inlineStr">
        <is>
          <t>Cotton/nylon mesh</t>
        </is>
      </c>
      <c r="G110" t="inlineStr">
        <is>
          <t>☐</t>
        </is>
      </c>
    </row>
    <row r="111" ht="15" customHeight="1">
      <c r="A111" s="5" t="n"/>
      <c r="B111" t="inlineStr">
        <is>
          <t>Press/fune</t>
        </is>
      </c>
      <c r="C111" s="104" t="inlineStr">
        <is>
          <t>槽</t>
        </is>
      </c>
      <c r="D111" s="97" t="n">
        <v>1</v>
      </c>
      <c r="E111" s="34">
        <f>IFERROR(IF(_Allocations!B6="","",IF(_Allocations!B6&lt;50,"Small","Standard")),"")</f>
        <v/>
      </c>
      <c r="F111" t="inlineStr">
        <is>
          <t>Or cheese press</t>
        </is>
      </c>
      <c r="G111" t="inlineStr">
        <is>
          <t>☐</t>
        </is>
      </c>
    </row>
    <row r="112" ht="15" customHeight="1">
      <c r="A112" s="5" t="n"/>
      <c r="B112" t="inlineStr">
        <is>
          <t>Drip collection</t>
        </is>
      </c>
      <c r="C112" t="inlineStr">
        <is>
          <t>Tare-kuchi</t>
        </is>
      </c>
      <c r="D112" s="97" t="n">
        <v>1</v>
      </c>
      <c r="E112" s="34">
        <f>IFERROR(IF(_Allocations!B7="","",CEILING(_Allocations!B7*1.2,5)&amp;" L"),"")</f>
        <v/>
      </c>
      <c r="F112" t="inlineStr">
        <is>
          <t>For arabashiri</t>
        </is>
      </c>
      <c r="G112" t="inlineStr">
        <is>
          <t>☐</t>
        </is>
      </c>
    </row>
    <row r="113" ht="15" customHeight="1">
      <c r="A113" s="15" t="inlineStr">
        <is>
          <t>STORAGE</t>
        </is>
      </c>
      <c r="B113" t="inlineStr">
        <is>
          <t>Secondary vessels</t>
        </is>
      </c>
      <c r="C113" t="inlineStr">
        <is>
          <t>Chozo-oke</t>
        </is>
      </c>
      <c r="D113" s="97">
        <f>IFERROR(IF(_Allocations!B7="","",CEILING(_Allocations!B7/4,1)),"")</f>
        <v/>
      </c>
      <c r="E113" s="34" t="inlineStr">
        <is>
          <t>4 L carboys</t>
        </is>
      </c>
      <c r="F113" t="inlineStr">
        <is>
          <t>Glass or food-grade</t>
        </is>
      </c>
      <c r="G113" t="inlineStr">
        <is>
          <t>☐</t>
        </is>
      </c>
    </row>
    <row r="114" ht="15" customHeight="1">
      <c r="A114" s="5" t="n"/>
      <c r="B114" t="inlineStr">
        <is>
          <t>Bottles (720mL)</t>
        </is>
      </c>
      <c r="C114" t="inlineStr">
        <is>
          <t>Bin</t>
        </is>
      </c>
      <c r="D114" s="97">
        <f>IFERROR(IF(_Allocations!B7="","",CEILING(_Allocations!B7/0.72,1)),"")</f>
        <v/>
      </c>
      <c r="E114" s="34" t="inlineStr">
        <is>
          <t>720 mL</t>
        </is>
      </c>
      <c r="F114" t="inlineStr">
        <is>
          <t>Standard sake size</t>
        </is>
      </c>
      <c r="G114" t="inlineStr">
        <is>
          <t>☐</t>
        </is>
      </c>
    </row>
    <row r="115" ht="15" customHeight="1">
      <c r="A115" s="15" t="inlineStr">
        <is>
          <t>INSTRUMENTS</t>
        </is>
      </c>
      <c r="B115" t="inlineStr">
        <is>
          <t>Scale</t>
        </is>
      </c>
      <c r="C115" t="inlineStr">
        <is>
          <t>Hakari</t>
        </is>
      </c>
      <c r="D115" s="97" t="n">
        <v>1</v>
      </c>
      <c r="E115" s="34" t="inlineStr">
        <is>
          <t>0.1g precision</t>
        </is>
      </c>
      <c r="F115" t="inlineStr">
        <is>
          <t>For koji-kin dosing</t>
        </is>
      </c>
      <c r="G115" t="inlineStr">
        <is>
          <t>☐</t>
        </is>
      </c>
    </row>
    <row r="116" ht="15" customHeight="1">
      <c r="A116" s="5" t="n"/>
      <c r="B116" t="inlineStr">
        <is>
          <t>Thermometer</t>
        </is>
      </c>
      <c r="C116" t="inlineStr">
        <is>
          <t>Ondokei</t>
        </is>
      </c>
      <c r="D116" s="97" t="n">
        <v>2</v>
      </c>
      <c r="E116" s="34" t="inlineStr">
        <is>
          <t>Digital probe</t>
        </is>
      </c>
      <c r="F116" t="inlineStr">
        <is>
          <t>Room + product</t>
        </is>
      </c>
      <c r="G116" t="inlineStr">
        <is>
          <t>☐</t>
        </is>
      </c>
    </row>
    <row r="117">
      <c r="A117" s="5" t="n"/>
      <c r="B117" t="inlineStr">
        <is>
          <t>pH meter</t>
        </is>
      </c>
      <c r="C117" t="inlineStr">
        <is>
          <t>pH-kei</t>
        </is>
      </c>
      <c r="D117" s="97" t="n">
        <v>1</v>
      </c>
      <c r="E117" s="34" t="n"/>
      <c r="F117" t="inlineStr">
        <is>
          <t>Or test strips</t>
        </is>
      </c>
      <c r="G117" t="inlineStr">
        <is>
          <t>☐</t>
        </is>
      </c>
    </row>
    <row r="118" ht="15" customHeight="1">
      <c r="A118" s="5" t="n"/>
      <c r="B118" t="inlineStr">
        <is>
          <t>Hydrometer/refract.</t>
        </is>
      </c>
      <c r="C118" t="inlineStr">
        <is>
          <t>Tōdo-kei</t>
        </is>
      </c>
      <c r="D118" s="97" t="n">
        <v>1</v>
      </c>
      <c r="E118" s="34" t="inlineStr">
        <is>
          <t>Baumé scale</t>
        </is>
      </c>
      <c r="F118" t="inlineStr">
        <is>
          <t>For moromi tracking</t>
        </is>
      </c>
      <c r="G118" t="inlineStr">
        <is>
          <t>☐</t>
        </is>
      </c>
    </row>
    <row r="119" ht="15" customHeight="1">
      <c r="A119" s="5" t="n"/>
      <c r="B119" t="inlineStr">
        <is>
          <t>Timer</t>
        </is>
      </c>
      <c r="C119" t="inlineStr">
        <is>
          <t>Taimā</t>
        </is>
      </c>
      <c r="D119" s="97" t="n">
        <v>1</v>
      </c>
      <c r="E119" s="34" t="n"/>
      <c r="F119" t="inlineStr">
        <is>
          <t>For soak timing</t>
        </is>
      </c>
      <c r="G119" t="inlineStr">
        <is>
          <t>☐</t>
        </is>
      </c>
    </row>
    <row r="120" ht="15" customHeight="1"/>
    <row r="121" ht="15" customHeight="1">
      <c r="A121" s="15" t="n"/>
    </row>
    <row r="122" ht="15" customHeight="1">
      <c r="A122" s="15" t="n"/>
      <c r="B122" s="15" t="n"/>
      <c r="C122" s="15" t="n"/>
      <c r="D122" s="15" t="n"/>
      <c r="E122" s="15" t="n"/>
      <c r="F122" s="15" t="n"/>
      <c r="G122" s="15" t="n"/>
    </row>
    <row r="123" ht="15" customHeight="1">
      <c r="B123" s="100" t="n"/>
      <c r="C123" s="100" t="n"/>
      <c r="F123" s="100" t="n"/>
    </row>
    <row r="124" ht="15" customHeight="1">
      <c r="B124" s="100" t="n"/>
      <c r="C124" s="100" t="n"/>
      <c r="F124" s="100" t="n"/>
    </row>
    <row r="125" ht="15" customHeight="1">
      <c r="B125" s="100" t="n"/>
      <c r="C125" s="100" t="n"/>
      <c r="F125" s="100" t="n"/>
    </row>
    <row r="126" ht="15" customHeight="1">
      <c r="B126" s="100" t="n"/>
      <c r="C126" s="100" t="n"/>
      <c r="F126" s="100" t="n"/>
    </row>
    <row r="127">
      <c r="B127" s="100" t="n"/>
      <c r="C127" s="100" t="n"/>
      <c r="F127" s="100" t="n"/>
    </row>
    <row r="128" ht="15" customHeight="1">
      <c r="B128" s="100" t="n"/>
      <c r="C128" s="100" t="n"/>
      <c r="F128" s="100" t="n"/>
    </row>
    <row r="129" ht="15" customHeight="1">
      <c r="B129" s="100" t="n"/>
      <c r="C129" s="100" t="n"/>
      <c r="F129" s="100" t="n"/>
    </row>
    <row r="130" ht="16.5" customHeight="1"/>
    <row r="131" ht="16.5" customHeight="1">
      <c r="A131" s="15" t="n"/>
      <c r="B131" s="100" t="n"/>
      <c r="C131" s="100" t="n"/>
    </row>
    <row r="132" ht="16.5" customHeight="1">
      <c r="A132" s="15" t="n"/>
      <c r="B132" s="15" t="n"/>
      <c r="C132" s="15" t="n"/>
      <c r="D132" s="15" t="n"/>
    </row>
    <row r="133" ht="16.5" customHeight="1">
      <c r="A133" s="15" t="n"/>
      <c r="B133" s="100" t="n"/>
    </row>
    <row r="134" ht="16.5" customHeight="1">
      <c r="A134" s="15" t="n"/>
      <c r="B134" s="105" t="n"/>
      <c r="C134" s="15" t="n"/>
      <c r="D134" s="15" t="n"/>
    </row>
    <row r="135" ht="15" customHeight="1">
      <c r="B135" s="100" t="n"/>
    </row>
    <row r="136" ht="15" customHeight="1">
      <c r="B136" s="100" t="n"/>
    </row>
    <row r="137">
      <c r="B137" s="100" t="n"/>
    </row>
    <row r="138" ht="15" customHeight="1">
      <c r="B138" s="100" t="n"/>
    </row>
    <row r="139">
      <c r="A139" s="106" t="n"/>
      <c r="B139" s="100" t="n"/>
    </row>
    <row r="141">
      <c r="A141" s="106" t="n"/>
    </row>
  </sheetData>
  <mergeCells count="12">
    <mergeCell ref="A32:G32"/>
    <mergeCell ref="A66:G66"/>
    <mergeCell ref="A61:G61"/>
    <mergeCell ref="A58:G58"/>
    <mergeCell ref="A74:G74"/>
    <mergeCell ref="A40:G40"/>
    <mergeCell ref="A3:G3"/>
    <mergeCell ref="A35:G35"/>
    <mergeCell ref="A12:G12"/>
    <mergeCell ref="A20:G20"/>
    <mergeCell ref="A90:G90"/>
    <mergeCell ref="A46:G46"/>
  </mergeCells>
  <dataValidations count="4">
    <dataValidation sqref="B36" showDropDown="0" showInputMessage="0" showErrorMessage="0" allowBlank="1" type="list">
      <formula1>_Lookups!$DD$2:$DD$9</formula1>
    </dataValidation>
    <dataValidation sqref="B62" showDropDown="0" showInputMessage="0" showErrorMessage="0" allowBlank="1" type="list">
      <formula1>_Lookups!$EA$2:$EA$8</formula1>
    </dataValidation>
    <dataValidation sqref="B6" showDropDown="0" showInputMessage="0" showErrorMessage="0" allowBlank="1" type="list">
      <formula1>"Select,Lot A,Lot B,Lot C,Lot D"</formula1>
    </dataValidation>
    <dataValidation sqref="B4" showDropDown="0" showInputMessage="0" showErrorMessage="0" allowBlank="1" type="list">
      <formula1>_Lookups!$CB$2:$CB$7</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104"/>
  <sheetViews>
    <sheetView zoomScale="120" workbookViewId="0">
      <selection activeCell="A1" sqref="A1"/>
    </sheetView>
  </sheetViews>
  <sheetFormatPr baseColWidth="8" defaultRowHeight="15"/>
  <cols>
    <col width="26" customWidth="1" min="1" max="1"/>
    <col width="12" customWidth="1" min="2" max="2"/>
    <col width="24" customWidth="1" min="3" max="3"/>
    <col width="26" customWidth="1" min="4" max="4"/>
    <col width="12" customWidth="1" min="5" max="5"/>
    <col width="24" customWidth="1" min="6" max="6"/>
  </cols>
  <sheetData>
    <row r="1">
      <c r="A1" s="182" t="inlineStr">
        <is>
          <t>QUICK CALCULATORS</t>
        </is>
      </c>
    </row>
    <row r="3">
      <c r="A3" s="183" t="inlineStr">
        <is>
          <t>RICE WEIGHT CONVERSIONS</t>
        </is>
      </c>
      <c r="D3" s="183" t="inlineStr">
        <is>
          <t>DILUTION CALCULATOR</t>
        </is>
      </c>
    </row>
    <row r="4">
      <c r="A4" t="inlineStr">
        <is>
          <t>Steamed rice (kg)</t>
        </is>
      </c>
      <c r="B4" s="180" t="n"/>
      <c r="D4" t="inlineStr">
        <is>
          <t>Current ABV (%)</t>
        </is>
      </c>
      <c r="E4" s="180" t="n"/>
    </row>
    <row r="5">
      <c r="A5" t="inlineStr">
        <is>
          <t>→ Dry rice was (kg)</t>
        </is>
      </c>
      <c r="B5" s="181">
        <f>IFERROR(IF(B4="","",ROUND(B4/1.4,3)),"")</f>
        <v/>
      </c>
      <c r="C5" s="184" t="inlineStr">
        <is>
          <t>÷ 1.40</t>
        </is>
      </c>
      <c r="D5" t="inlineStr">
        <is>
          <t>Current volume (L)</t>
        </is>
      </c>
      <c r="E5" s="180" t="n"/>
    </row>
    <row r="6">
      <c r="A6" t="inlineStr">
        <is>
          <t>Soaked rice (kg)</t>
        </is>
      </c>
      <c r="B6" s="180" t="n"/>
      <c r="D6" t="inlineStr">
        <is>
          <t>Target ABV (%)</t>
        </is>
      </c>
      <c r="E6" s="180" t="n"/>
    </row>
    <row r="7">
      <c r="A7" t="inlineStr">
        <is>
          <t>→ Dry rice was (kg)</t>
        </is>
      </c>
      <c r="B7" s="181">
        <f>IFERROR(IF(B6="","",ROUND(B6/1.3,3)),"")</f>
        <v/>
      </c>
      <c r="C7" s="184" t="inlineStr">
        <is>
          <t>÷ 1.30</t>
        </is>
      </c>
      <c r="D7" t="inlineStr">
        <is>
          <t>→ Final volume (L)</t>
        </is>
      </c>
      <c r="E7" s="181">
        <f>IFERROR(IF(OR(E4="",E5="",E6=""),"",ROUND(E4*E5/E6,2)),"")</f>
        <v/>
      </c>
      <c r="F7" s="184" t="inlineStr">
        <is>
          <t>ABV₁ × V₁ / ABV₂</t>
        </is>
      </c>
    </row>
    <row r="8">
      <c r="A8" t="inlineStr">
        <is>
          <t>Dry rice (kg)</t>
        </is>
      </c>
      <c r="B8" s="180" t="n"/>
      <c r="D8" t="inlineStr">
        <is>
          <t>→ Water to add (L)</t>
        </is>
      </c>
      <c r="E8" s="181">
        <f>IFERROR(IF(OR(E7="",E5=""),"",ROUND(E7-E5,2)),"")</f>
        <v/>
      </c>
      <c r="F8" s="184" t="inlineStr">
        <is>
          <t>Final - Current</t>
        </is>
      </c>
    </row>
    <row r="9">
      <c r="A9" t="inlineStr">
        <is>
          <t>After soak (kg)</t>
        </is>
      </c>
      <c r="B9" s="180" t="n"/>
    </row>
    <row r="10">
      <c r="A10" t="inlineStr">
        <is>
          <t>→ Absorption %</t>
        </is>
      </c>
      <c r="B10" s="181">
        <f>IFERROR(IF(OR(B8="",B9=""),"",ROUND((B9-B8)/B8*100,1)),"")</f>
        <v/>
      </c>
      <c r="C10" s="184" t="inlineStr">
        <is>
          <t>(after-before)/before × 100</t>
        </is>
      </c>
      <c r="D10" s="183" t="inlineStr">
        <is>
          <t>SMV (NIHONSHUDO)</t>
        </is>
      </c>
    </row>
    <row r="11">
      <c r="D11" t="inlineStr">
        <is>
          <t>Specific gravity</t>
        </is>
      </c>
      <c r="E11" s="180" t="n"/>
    </row>
    <row r="12">
      <c r="A12" s="183" t="inlineStr">
        <is>
          <t>UEDA METHOD DRY-DOWN</t>
        </is>
      </c>
      <c r="D12" t="inlineStr">
        <is>
          <t>→ SMV (日本酒度)</t>
        </is>
      </c>
      <c r="E12" s="181">
        <f>IFERROR(IF(E11="","",ROUND((1/E11-1)*1443,0)),"")</f>
        <v/>
      </c>
      <c r="F12" s="184" t="inlineStr">
        <is>
          <t>(1/SG - 1) × 1443</t>
        </is>
      </c>
    </row>
    <row r="13">
      <c r="A13" t="inlineStr">
        <is>
          <t>Steamed rice (kg)</t>
        </is>
      </c>
      <c r="B13" s="180" t="n"/>
    </row>
    <row r="14">
      <c r="A14" t="inlineStr">
        <is>
          <t>→ Target hiki-komi (kg)</t>
        </is>
      </c>
      <c r="B14" s="181">
        <f>IFERROR(IF(B13="","",ROUND(B13*0.85,3)),"")</f>
        <v/>
      </c>
      <c r="C14" s="184" t="inlineStr">
        <is>
          <t>× 0.85</t>
        </is>
      </c>
      <c r="D14" s="183" t="inlineStr">
        <is>
          <t>TEMPERATURE</t>
        </is>
      </c>
    </row>
    <row r="15">
      <c r="A15" t="inlineStr">
        <is>
          <t>→ Water to remove (kg)</t>
        </is>
      </c>
      <c r="B15" s="181">
        <f>IFERROR(IF(B13="","",ROUND(B13*0.15,3)),"")</f>
        <v/>
      </c>
      <c r="C15" s="184" t="inlineStr">
        <is>
          <t>× 0.15</t>
        </is>
      </c>
      <c r="D15" t="inlineStr">
        <is>
          <t>Celsius (°C)</t>
        </is>
      </c>
      <c r="E15" s="180" t="n"/>
    </row>
    <row r="16">
      <c r="A16" t="inlineStr">
        <is>
          <t>Drying temp (°C)</t>
        </is>
      </c>
      <c r="B16" s="180" t="n">
        <v>40</v>
      </c>
      <c r="C16" s="184" t="inlineStr">
        <is>
          <t>rec: 38-42</t>
        </is>
      </c>
      <c r="D16" t="inlineStr">
        <is>
          <t>→ Fahrenheit (°F)</t>
        </is>
      </c>
      <c r="E16" s="181">
        <f>IFERROR(IF(E15="","",ROUND(E15*9/5+32,1)),"")</f>
        <v/>
      </c>
      <c r="F16" s="184" t="inlineStr">
        <is>
          <t>°C × 9/5 + 32</t>
        </is>
      </c>
    </row>
    <row r="17">
      <c r="A17" t="inlineStr">
        <is>
          <t>Humidity (% RH)</t>
        </is>
      </c>
      <c r="B17" s="180" t="n">
        <v>45</v>
      </c>
      <c r="C17" s="184" t="inlineStr">
        <is>
          <t>rec: &lt;50%</t>
        </is>
      </c>
    </row>
    <row r="18">
      <c r="A18" t="inlineStr">
        <is>
          <t>→ Est. dry time (min)</t>
        </is>
      </c>
      <c r="B18" s="178">
        <f>IFERROR(IF(OR(B13="",B16="",B17=""),"",IF(B17&gt;=60,"Too humid",IF(B16&lt;35,"Too cold",ROUND(150/(2.7*(1+0.05*(B16-40))*((65-B17)/25)),0)))),"")</f>
        <v/>
      </c>
      <c r="C18" s="184" t="inlineStr">
        <is>
          <t>≈55 min at 40°C/40%RH</t>
        </is>
      </c>
    </row>
    <row r="19">
      <c r="A19" s="183" t="inlineStr">
        <is>
          <t>KOJI TRAY COUNT</t>
        </is>
      </c>
      <c r="D19" t="inlineStr">
        <is>
          <t>Fahrenheit (°F)</t>
        </is>
      </c>
      <c r="E19" s="180" t="n"/>
    </row>
    <row r="20">
      <c r="A20" t="inlineStr">
        <is>
          <t>Pre-inoc weight (kg)</t>
        </is>
      </c>
      <c r="B20" s="180" t="n"/>
      <c r="D20" t="inlineStr">
        <is>
          <t>→ Celsius (°C)</t>
        </is>
      </c>
    </row>
    <row r="21">
      <c r="A21" t="inlineStr">
        <is>
          <t>Tray capacity (kg)</t>
        </is>
      </c>
      <c r="B21" s="180" t="n">
        <v>1.5</v>
      </c>
    </row>
    <row r="22">
      <c r="A22" t="inlineStr">
        <is>
          <t>→ Trays needed</t>
        </is>
      </c>
      <c r="B22" s="181">
        <f>IFERROR(IF(OR(B20="",B21=""),"",CEILING(B20/B21,1)),"")</f>
        <v/>
      </c>
      <c r="C22" s="184" t="inlineStr">
        <is>
          <t>CEILING(weight/capacity)</t>
        </is>
      </c>
      <c r="D22" s="183" t="inlineStr">
        <is>
          <t>YIELD ESTIMATE</t>
        </is>
      </c>
    </row>
    <row r="23">
      <c r="D23" t="inlineStr">
        <is>
          <t>Total dry rice (kg)</t>
        </is>
      </c>
      <c r="E23" s="180" t="n"/>
    </row>
    <row r="24">
      <c r="D24" t="inlineStr">
        <is>
          <t>Target ABV (%)</t>
        </is>
      </c>
      <c r="E24" s="180" t="n">
        <v>15</v>
      </c>
    </row>
    <row r="25">
      <c r="D25" t="inlineStr">
        <is>
          <t>→ Genshu yield (L)</t>
        </is>
      </c>
      <c r="E25" s="181">
        <f>IFERROR(IF(OR(E21="",E22=""),"",ROUND(E21*1.3*0.63*(18/E22),1)),"")</f>
        <v/>
      </c>
      <c r="F25" s="184" t="inlineStr">
        <is>
          <t>rice × 1.3 × 0.63 × (18/ABV)</t>
        </is>
      </c>
    </row>
    <row r="27"/>
    <row r="29">
      <c r="A29" s="183" t="inlineStr">
        <is>
          <t>LACTIC ACID (SOKUJO)</t>
        </is>
      </c>
      <c r="D29" s="183" t="inlineStr">
        <is>
          <t>MOROMI PROGRESS</t>
        </is>
      </c>
    </row>
    <row r="30">
      <c r="A30" t="inlineStr">
        <is>
          <t>Moto water (L)</t>
        </is>
      </c>
      <c r="B30" s="180" t="n"/>
      <c r="D30" t="inlineStr">
        <is>
          <t>Current Baumé (°Bé)</t>
        </is>
      </c>
      <c r="E30" s="180" t="n"/>
    </row>
    <row r="31">
      <c r="A31" t="inlineStr">
        <is>
          <t>Acid concentration (%)</t>
        </is>
      </c>
      <c r="B31" s="180" t="n">
        <v>88</v>
      </c>
      <c r="D31" t="inlineStr">
        <is>
          <t>Starting Baumé (°Bé)</t>
        </is>
      </c>
      <c r="E31" s="180" t="n">
        <v>14</v>
      </c>
    </row>
    <row r="32">
      <c r="A32" t="inlineStr">
        <is>
          <t>→ mL to add</t>
        </is>
      </c>
      <c r="B32">
        <f>IFERROR(IF(OR(B30="",B31=""),"",ROUND((B30*0.4)/(B31/100),2)),"")</f>
        <v/>
      </c>
      <c r="C32" t="inlineStr">
        <is>
          <t>0.4% of water ÷ concentration</t>
        </is>
      </c>
      <c r="D32" t="inlineStr">
        <is>
          <t>→ % Complete</t>
        </is>
      </c>
      <c r="E32" s="181">
        <f>IFERROR(IF(OR(E28="",E29=""),"",ROUND((E29-E28)/E29*100,0)&amp;"%"),"")</f>
        <v/>
      </c>
      <c r="F32" s="184" t="inlineStr">
        <is>
          <t>(start - current) / start × 100</t>
        </is>
      </c>
    </row>
    <row r="34">
      <c r="A34" s="183" t="inlineStr">
        <is>
          <t>BAUMÉ ↔ SG</t>
        </is>
      </c>
      <c r="D34" t="inlineStr">
        <is>
          <t>Days since Soe</t>
        </is>
      </c>
      <c r="E34" s="180" t="n"/>
    </row>
    <row r="35">
      <c r="A35" t="inlineStr">
        <is>
          <t>Baumé (°Bé)</t>
        </is>
      </c>
      <c r="B35" s="180" t="n"/>
      <c r="D35" t="inlineStr">
        <is>
          <t>→ Est. ABV (%)</t>
        </is>
      </c>
    </row>
    <row r="36">
      <c r="A36" t="inlineStr">
        <is>
          <t>→ Specific Gravity</t>
        </is>
      </c>
      <c r="B36" s="181">
        <f>IFERROR(IF(B35="","",ROUND(145/(145-B35),4)),"")</f>
        <v/>
      </c>
      <c r="C36" s="184" t="inlineStr">
        <is>
          <t>145 / (145 - Bé)</t>
        </is>
      </c>
    </row>
    <row r="37">
      <c r="A37" t="inlineStr">
        <is>
          <t>Specific Gravity</t>
        </is>
      </c>
      <c r="B37" s="180" t="n"/>
      <c r="D37" s="183" t="inlineStr">
        <is>
          <t>RICE PROTEIN ESTIMATE</t>
        </is>
      </c>
    </row>
    <row r="38">
      <c r="A38" t="inlineStr">
        <is>
          <t>→ Baumé (°Bé)</t>
        </is>
      </c>
      <c r="B38" s="181">
        <f>IFERROR(IF(B37="","",ROUND(145-(145/B37),1)),"")</f>
        <v/>
      </c>
      <c r="C38" s="184" t="inlineStr">
        <is>
          <t>145 - (145 / SG)</t>
        </is>
      </c>
      <c r="D38" t="inlineStr">
        <is>
          <t>Polish ratio (%)</t>
        </is>
      </c>
      <c r="E38" s="180" t="n"/>
    </row>
    <row r="39">
      <c r="D39" t="inlineStr">
        <is>
          <t>Original protein (%)</t>
        </is>
      </c>
      <c r="E39" s="180" t="n">
        <v>6.5</v>
      </c>
    </row>
    <row r="40">
      <c r="D40" t="inlineStr">
        <is>
          <t>→ Est. remaining protein (%)</t>
        </is>
      </c>
    </row>
    <row r="42">
      <c r="A42" s="183" t="inlineStr">
        <is>
          <t>BRIX CONVERSIONS</t>
        </is>
      </c>
      <c r="D42" s="183" t="inlineStr">
        <is>
          <t>WATER RATIO</t>
        </is>
      </c>
    </row>
    <row r="43">
      <c r="A43" t="inlineStr">
        <is>
          <t>Brix (°Bx)</t>
        </is>
      </c>
      <c r="B43" s="180" t="n"/>
      <c r="D43" t="inlineStr">
        <is>
          <t>Total dry rice (kg)</t>
        </is>
      </c>
      <c r="E43" s="180" t="n"/>
    </row>
    <row r="44">
      <c r="A44" t="inlineStr">
        <is>
          <t>→ Baumé (°Bé)</t>
        </is>
      </c>
      <c r="B44" s="178">
        <f>IFERROR(IF(B43="","",ROUND(B43/1.8,1)),"")</f>
        <v/>
      </c>
      <c r="C44" s="184" t="inlineStr">
        <is>
          <t>Brix / 1.8</t>
        </is>
      </c>
      <c r="D44" t="inlineStr">
        <is>
          <t>Water ratio</t>
        </is>
      </c>
      <c r="E44" s="180" t="n">
        <v>1.3</v>
      </c>
    </row>
    <row r="45">
      <c r="A45" t="inlineStr">
        <is>
          <t>→ Specific Gravity</t>
        </is>
      </c>
      <c r="D45" t="inlineStr">
        <is>
          <t>→ Total water (L)</t>
        </is>
      </c>
    </row>
    <row r="47">
      <c r="A47" s="183" t="inlineStr">
        <is>
          <t>KOJI SPORE DOSING (種付け)</t>
        </is>
      </c>
      <c r="D47" s="183" t="inlineStr">
        <is>
          <t>PRESSING YIELD</t>
        </is>
      </c>
    </row>
    <row r="48">
      <c r="A48" t="inlineStr">
        <is>
          <t>Koji style</t>
        </is>
      </c>
      <c r="B48" s="177" t="inlineStr">
        <is>
          <t>Sou-haze (Standard)</t>
        </is>
      </c>
      <c r="C48" s="184" t="inlineStr">
        <is>
          <t>select type</t>
        </is>
      </c>
      <c r="D48" t="inlineStr">
        <is>
          <t>Moromi volume (L)</t>
        </is>
      </c>
      <c r="E48" s="180" t="n"/>
    </row>
    <row r="49">
      <c r="A49" t="inlineStr">
        <is>
          <t>Steamed rice (kg)</t>
        </is>
      </c>
      <c r="B49" s="180" t="n"/>
      <c r="D49" t="inlineStr">
        <is>
          <t>Press efficiency (%)</t>
        </is>
      </c>
      <c r="E49" s="180" t="n">
        <v>65</v>
      </c>
    </row>
    <row r="50">
      <c r="A50" t="inlineStr">
        <is>
          <t>-&gt; Base rate (g/kg)</t>
        </is>
      </c>
      <c r="B50" s="178">
        <f>IFERROR(IF(B48="Tsuki-haze (Ginjo)",0.08,IF(B48="Sou-haze (Standard)",0.15,IF(B48="High-enzyme (Moto)",0.25,""))),"")</f>
        <v/>
      </c>
      <c r="C50" s="184" t="inlineStr">
        <is>
          <t>from style</t>
        </is>
      </c>
      <c r="D50" t="inlineStr">
        <is>
          <t>→ Sake yield (L)</t>
        </is>
      </c>
    </row>
    <row r="51">
      <c r="A51" t="inlineStr">
        <is>
          <t>Spore age (months)</t>
        </is>
      </c>
      <c r="B51" s="180" t="n">
        <v>0</v>
      </c>
      <c r="C51" s="184" t="inlineStr">
        <is>
          <t>0=fresh</t>
        </is>
      </c>
    </row>
    <row r="52">
      <c r="A52" t="inlineStr">
        <is>
          <t>-&gt; Adjusted rate (g/kg)</t>
        </is>
      </c>
      <c r="B52" s="178">
        <f>IFERROR(IF(OR(B50="",B51=""),"",ROUND(B50*(1+IF(B51&lt;3,0,IF(B51&lt;6,0.25,IF(B51&lt;12,0.5,1)))),3)),"")</f>
        <v/>
      </c>
      <c r="C52" s="184" t="inlineStr">
        <is>
          <t>age-adjusted</t>
        </is>
      </c>
    </row>
    <row r="53">
      <c r="A53" t="inlineStr">
        <is>
          <t>-&gt; Tane-koji needed (g)</t>
        </is>
      </c>
      <c r="B53" s="178">
        <f>IFERROR(IF(OR(B49="",B52=""),"",ROUND(B49*B52,2)),"")</f>
        <v/>
      </c>
      <c r="C53" s="184" t="inlineStr">
        <is>
          <t>rice x rate</t>
        </is>
      </c>
    </row>
    <row r="54">
      <c r="A54" t="inlineStr">
        <is>
          <t>Carrier ratio</t>
        </is>
      </c>
      <c r="B54" s="180" t="n">
        <v>5</v>
      </c>
      <c r="C54" s="184" t="inlineStr">
        <is>
          <t>:1 (carrier:spores)</t>
        </is>
      </c>
    </row>
    <row r="55">
      <c r="A55" t="inlineStr">
        <is>
          <t>-&gt; Carrier amount (g)</t>
        </is>
      </c>
      <c r="B55" s="178">
        <f>IFERROR(IF(OR(B53="",B54=""),"",ROUND(B53*B54,1)),"")</f>
        <v/>
      </c>
      <c r="C55" s="184" t="inlineStr">
        <is>
          <t>spores x ratio</t>
        </is>
      </c>
    </row>
    <row r="56">
      <c r="A56" t="inlineStr">
        <is>
          <t>-&gt; Total mixture (g)</t>
        </is>
      </c>
      <c r="B56" s="178">
        <f>IFERROR(IF(OR(B53="",B55=""),"",ROUND(B53+B55,1)),"")</f>
        <v/>
      </c>
      <c r="C56" s="184" t="inlineStr">
        <is>
          <t>spores + carrier</t>
        </is>
      </c>
    </row>
    <row r="57">
      <c r="A57" t="inlineStr">
        <is>
          <t>Sprinkling passes</t>
        </is>
      </c>
      <c r="B57" s="180" t="n">
        <v>2</v>
      </c>
    </row>
    <row r="58">
      <c r="A58" t="inlineStr">
        <is>
          <t>-&gt; Per pass (g)</t>
        </is>
      </c>
      <c r="B58" s="178">
        <f>IFERROR(IF(OR(B56="",B57=""),"",IF(B57=2,ROUND(B56*0.6,1)&amp;" / "&amp;ROUND(B56*0.4,1),ROUND(B56/B57,1))),"")</f>
        <v/>
      </c>
      <c r="C58" s="184" t="inlineStr">
        <is>
          <t>60/40 split if 2 passes</t>
        </is>
      </c>
    </row>
    <row r="59">
      <c r="A59" t="inlineStr">
        <is>
          <t xml:space="preserve">   Inoc. temp:</t>
        </is>
      </c>
      <c r="B59" s="178" t="inlineStr">
        <is>
          <t>32-35C</t>
        </is>
      </c>
      <c r="C59" s="184" t="inlineStr">
        <is>
          <t>critical for germination</t>
        </is>
      </c>
    </row>
    <row r="62">
      <c r="A62" s="183" t="inlineStr">
        <is>
          <t>BOTTLE COUNT</t>
        </is>
      </c>
      <c r="D62" s="183" t="inlineStr">
        <is>
          <t>ABV ↔ ABW</t>
        </is>
      </c>
    </row>
    <row r="63">
      <c r="A63" t="inlineStr">
        <is>
          <t>Total volume (L)</t>
        </is>
      </c>
      <c r="B63" s="180" t="n"/>
      <c r="D63" t="inlineStr">
        <is>
          <t>ABV (%)</t>
        </is>
      </c>
      <c r="E63" s="180" t="n"/>
    </row>
    <row r="64">
      <c r="A64" t="inlineStr">
        <is>
          <t>Bottle size (mL)</t>
        </is>
      </c>
      <c r="B64" s="180" t="n">
        <v>720</v>
      </c>
      <c r="D64" t="inlineStr">
        <is>
          <t>→ ABW (%)</t>
        </is>
      </c>
      <c r="E64" s="178">
        <f>IFERROR(IF(E51="","",ROUND(E51*0.79,1)),"")</f>
        <v/>
      </c>
      <c r="F64" s="184" t="inlineStr">
        <is>
          <t>ABV × 0.79</t>
        </is>
      </c>
    </row>
    <row r="65">
      <c r="A65" t="inlineStr">
        <is>
          <t>→ Bottles</t>
        </is>
      </c>
      <c r="B65" s="178">
        <f>IFERROR(IF(OR(B51="",B52=""),"",FLOOR(B51*1000/B52,1)),"")</f>
        <v/>
      </c>
      <c r="C65" s="184" t="inlineStr">
        <is>
          <t>FLOOR(L×1000/mL)</t>
        </is>
      </c>
      <c r="D65" t="inlineStr">
        <is>
          <t>ABW (%)</t>
        </is>
      </c>
    </row>
    <row r="66">
      <c r="D66" t="inlineStr">
        <is>
          <t>→ ABV (%)</t>
        </is>
      </c>
    </row>
    <row r="68">
      <c r="A68" s="183" t="inlineStr">
        <is>
          <t>SAKE KASU (LEES)</t>
        </is>
      </c>
      <c r="D68" s="183" t="inlineStr">
        <is>
          <t>PASTEURIZATION HOLD</t>
        </is>
      </c>
    </row>
    <row r="69">
      <c r="A69" t="inlineStr">
        <is>
          <t>Total dry rice (kg)</t>
        </is>
      </c>
      <c r="B69" s="180" t="n"/>
      <c r="D69" t="inlineStr">
        <is>
          <t>Target temp (°C)</t>
        </is>
      </c>
      <c r="E69" s="180" t="n">
        <v>65</v>
      </c>
    </row>
    <row r="70">
      <c r="A70" t="inlineStr">
        <is>
          <t>→ Est. kasu (kg)</t>
        </is>
      </c>
      <c r="D70" t="inlineStr">
        <is>
          <t>→ Hold time (min)</t>
        </is>
      </c>
    </row>
    <row r="72">
      <c r="A72" s="183" t="inlineStr">
        <is>
          <t>ACIDITY BOOST</t>
        </is>
      </c>
      <c r="D72" s="183" t="inlineStr">
        <is>
          <t>YEAST STARTER</t>
        </is>
      </c>
    </row>
    <row r="73">
      <c r="A73" t="inlineStr">
        <is>
          <t>Sake volume (L)</t>
        </is>
      </c>
      <c r="B73" s="180" t="n"/>
      <c r="D73" t="inlineStr">
        <is>
          <t>Total moromi volume (L)</t>
        </is>
      </c>
      <c r="E73" s="180" t="n"/>
    </row>
    <row r="74">
      <c r="A74" t="inlineStr">
        <is>
          <t>Current TA (mL)</t>
        </is>
      </c>
      <c r="B74" s="180" t="n"/>
      <c r="D74" t="inlineStr">
        <is>
          <t>Pitch rate (%)</t>
        </is>
      </c>
      <c r="E74" s="180" t="n">
        <v>7</v>
      </c>
    </row>
    <row r="75">
      <c r="A75" t="inlineStr">
        <is>
          <t>Target TA (mL)</t>
        </is>
      </c>
      <c r="B75" s="180" t="n"/>
      <c r="D75" t="inlineStr">
        <is>
          <t>→ Moto volume (L)</t>
        </is>
      </c>
    </row>
    <row r="76">
      <c r="A76" t="inlineStr">
        <is>
          <t>→ 88% lactic acid (mL)</t>
        </is>
      </c>
    </row>
    <row r="77">
      <c r="D77" s="183" t="inlineStr">
        <is>
          <t>KOJI RATIO CHECK</t>
        </is>
      </c>
    </row>
    <row r="78">
      <c r="A78" s="183" t="inlineStr">
        <is>
          <t>RICE WASH WATER</t>
        </is>
      </c>
      <c r="D78" t="inlineStr">
        <is>
          <t>Total rice (kg)</t>
        </is>
      </c>
      <c r="E78" s="180" t="n"/>
    </row>
    <row r="79">
      <c r="A79" t="inlineStr">
        <is>
          <t>Dry rice (kg)</t>
        </is>
      </c>
      <c r="B79" s="180" t="n"/>
      <c r="D79" t="inlineStr">
        <is>
          <t>Koji rice (kg)</t>
        </is>
      </c>
      <c r="E79" s="180" t="n"/>
    </row>
    <row r="80">
      <c r="A80" t="inlineStr">
        <is>
          <t>→ Wash water (L)</t>
        </is>
      </c>
      <c r="B80" s="178">
        <f>IFERROR(IF(B67="","",ROUND(B67*3,0)),"")</f>
        <v/>
      </c>
      <c r="C80" s="184" t="inlineStr">
        <is>
          <t>rice × 3</t>
        </is>
      </c>
      <c r="D80" t="inlineStr">
        <is>
          <t>→ Koji ratio (%)</t>
        </is>
      </c>
      <c r="E80" s="178">
        <f>IFERROR(IF(OR(E66="",E67=""),"",ROUND(E67/E66*100,0)&amp;"%"),"")</f>
        <v/>
      </c>
      <c r="F80" s="184" t="inlineStr">
        <is>
          <t>koji/total × 100</t>
        </is>
      </c>
    </row>
    <row r="81">
      <c r="A81" t="inlineStr">
        <is>
          <t>→ Soak water (L)</t>
        </is>
      </c>
      <c r="B81" s="178">
        <f>IFERROR(IF(B67="","",ROUND(B67*1.5,1)),"")</f>
        <v/>
      </c>
      <c r="C81" s="184" t="inlineStr">
        <is>
          <t>rice × 1.5</t>
        </is>
      </c>
    </row>
    <row r="85">
      <c r="A85" s="291" t="inlineStr">
        <is>
          <t>MASH TEMPERATURE</t>
        </is>
      </c>
    </row>
    <row r="86">
      <c r="A86" t="inlineStr">
        <is>
          <t>Steamed rice (kg)</t>
        </is>
      </c>
      <c r="B86" s="292" t="n"/>
      <c r="C86" t="inlineStr">
        <is>
          <t>input weight</t>
        </is>
      </c>
    </row>
    <row r="87">
      <c r="A87" t="inlineStr">
        <is>
          <t>Rice temp (°C)</t>
        </is>
      </c>
      <c r="B87" s="292" t="n"/>
      <c r="C87" t="inlineStr">
        <is>
          <t>measured</t>
        </is>
      </c>
    </row>
    <row r="88">
      <c r="A88" t="inlineStr">
        <is>
          <t>Water/mash (kg or L)</t>
        </is>
      </c>
      <c r="B88" s="292" t="n"/>
      <c r="C88" t="inlineStr">
        <is>
          <t>1 kg ≈ 1 L</t>
        </is>
      </c>
    </row>
    <row r="89">
      <c r="A89" t="inlineStr">
        <is>
          <t>Water temp (°C)</t>
        </is>
      </c>
      <c r="B89" s="292" t="n"/>
      <c r="C89" t="inlineStr">
        <is>
          <t>measured</t>
        </is>
      </c>
    </row>
    <row r="90">
      <c r="A90" t="inlineStr">
        <is>
          <t>→ Final mash temp (°C)</t>
        </is>
      </c>
      <c r="B90" s="293">
        <f>IFERROR(IF(OR(B86="",B87="",B88="",B89=""),"",ROUND((B86*2.7*B87+B88*4.186*B89)/(B86*2.7+B88*4.186),1)),"")</f>
        <v/>
      </c>
      <c r="C90" t="inlineStr">
        <is>
          <t>heat balance</t>
        </is>
      </c>
    </row>
    <row r="92">
      <c r="A92" s="294" t="inlineStr">
        <is>
          <t>3-COMPONENT (Rice + Koji + Water)</t>
        </is>
      </c>
    </row>
    <row r="93">
      <c r="A93" t="inlineStr">
        <is>
          <t>Steamed rice (kg)</t>
        </is>
      </c>
      <c r="B93" s="292" t="n"/>
      <c r="C93" t="inlineStr">
        <is>
          <t>kakemai</t>
        </is>
      </c>
    </row>
    <row r="94">
      <c r="A94" t="inlineStr">
        <is>
          <t>Rice temp (°C)</t>
        </is>
      </c>
      <c r="B94" s="292" t="n"/>
    </row>
    <row r="95">
      <c r="A95" t="inlineStr">
        <is>
          <t>Koji (kg)</t>
        </is>
      </c>
      <c r="B95" s="292" t="n"/>
      <c r="C95" t="inlineStr">
        <is>
          <t>kojimai</t>
        </is>
      </c>
    </row>
    <row r="96">
      <c r="A96" t="inlineStr">
        <is>
          <t>Koji temp (°C)</t>
        </is>
      </c>
      <c r="B96" s="292" t="n"/>
      <c r="C96" t="inlineStr">
        <is>
          <t>typically 30-35°C</t>
        </is>
      </c>
    </row>
    <row r="97">
      <c r="A97" t="inlineStr">
        <is>
          <t>Water (L)</t>
        </is>
      </c>
      <c r="B97" s="292" t="n"/>
    </row>
    <row r="98">
      <c r="A98" t="inlineStr">
        <is>
          <t>Water temp (°C)</t>
        </is>
      </c>
      <c r="B98" s="292" t="n"/>
    </row>
    <row r="99">
      <c r="A99" t="inlineStr">
        <is>
          <t>→ Final mash temp (°C)</t>
        </is>
      </c>
      <c r="B99" s="293">
        <f>IFERROR(IF(OR(B93="",B94="",B95="",B96="",B97="",B98=""),"",ROUND((B93*2.7*B94+B95*1.8*B96+B97*4.186*B98)/(B93*2.7+B95*1.8+B97*4.186),1)),"")</f>
        <v/>
      </c>
      <c r="C99" t="inlineStr">
        <is>
          <t>Cp: rice=2.7, koji=1.8</t>
        </is>
      </c>
    </row>
    <row r="101">
      <c r="A101" s="294" t="inlineStr">
        <is>
          <t>TOJI 3.5× METHOD</t>
        </is>
      </c>
    </row>
    <row r="102">
      <c r="A102" t="inlineStr">
        <is>
          <t>Target mash temp (°C)</t>
        </is>
      </c>
      <c r="B102" s="292" t="n"/>
      <c r="C102" t="inlineStr">
        <is>
          <t>desired final</t>
        </is>
      </c>
    </row>
    <row r="103">
      <c r="A103" t="inlineStr">
        <is>
          <t>Mizu-koji temp (°C)</t>
        </is>
      </c>
      <c r="B103" s="292" t="n"/>
      <c r="C103" t="inlineStr">
        <is>
          <t>water+koji temp</t>
        </is>
      </c>
    </row>
    <row r="104">
      <c r="A104" t="inlineStr">
        <is>
          <t>→ Required rice temp (°C)</t>
        </is>
      </c>
      <c r="B104" s="293">
        <f>IFERROR(IF(OR(B102="",B103=""),"",ROUND((B102-B103)*3.5+B103,1)),"")</f>
        <v/>
      </c>
      <c r="C104" t="inlineStr">
        <is>
          <t>(Target-Mizu)×3.5+Mizu</t>
        </is>
      </c>
    </row>
  </sheetData>
  <mergeCells count="20">
    <mergeCell ref="A66:C66"/>
    <mergeCell ref="D27:F27"/>
    <mergeCell ref="A27:C27"/>
    <mergeCell ref="A3:C3"/>
    <mergeCell ref="A101:C101"/>
    <mergeCell ref="A12:C12"/>
    <mergeCell ref="A47:C47"/>
    <mergeCell ref="A85:C85"/>
    <mergeCell ref="D3:F3"/>
    <mergeCell ref="D14:F14"/>
    <mergeCell ref="D35:F35"/>
    <mergeCell ref="A40:C40"/>
    <mergeCell ref="A92:C92"/>
    <mergeCell ref="D20:F20"/>
    <mergeCell ref="D10:F10"/>
    <mergeCell ref="A45:C45"/>
    <mergeCell ref="A1:F1"/>
    <mergeCell ref="D65:F65"/>
    <mergeCell ref="D40:F40"/>
    <mergeCell ref="D45:F45"/>
  </mergeCells>
  <dataValidations count="1">
    <dataValidation sqref="B48" showDropDown="0" showInputMessage="0" showErrorMessage="0" allowBlank="0" type="list">
      <formula1>"Tsuki-haze (Ginjo),Sou-haze (Standard),High-enzyme (Moto)"</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222"/>
  <sheetViews>
    <sheetView zoomScale="120" workbookViewId="0">
      <selection activeCell="A1" sqref="A1"/>
    </sheetView>
  </sheetViews>
  <sheetFormatPr baseColWidth="8" defaultRowHeight="15"/>
  <cols>
    <col width="26" customWidth="1" min="1" max="1"/>
    <col width="12" customWidth="1" min="2" max="2"/>
    <col width="12" customWidth="1" min="3" max="3"/>
    <col width="26" customWidth="1" min="4" max="4"/>
    <col width="12" customWidth="1" min="5" max="5"/>
    <col width="12" customWidth="1" min="6" max="6"/>
  </cols>
  <sheetData>
    <row r="1">
      <c r="A1" s="218" t="inlineStr">
        <is>
          <t>Koji Ferments Calculator</t>
        </is>
      </c>
    </row>
    <row r="3">
      <c r="A3" s="183" t="inlineStr">
        <is>
          <t>SHIO KOJI (塩麹) — Salt Koji</t>
        </is>
      </c>
    </row>
    <row r="5" ht="30" customHeight="1">
      <c r="A5" s="225" t="inlineStr">
        <is>
          <t>Versatile seasoning paste. Koji enzymes tenderize protein and develop umami. Use as marinade, seasoning, or salt replacement.</t>
        </is>
      </c>
    </row>
    <row r="7">
      <c r="A7" s="227" t="inlineStr">
        <is>
          <t>INPUTS</t>
        </is>
      </c>
    </row>
    <row r="8">
      <c r="A8" s="201" t="inlineStr">
        <is>
          <t>Target shio koji (kg)</t>
        </is>
      </c>
      <c r="B8" s="215" t="n"/>
    </row>
    <row r="9">
      <c r="A9" s="201" t="inlineStr">
        <is>
          <t>Salt ratio (%)</t>
        </is>
      </c>
      <c r="B9" s="215" t="n">
        <v>13</v>
      </c>
    </row>
    <row r="11">
      <c r="A11" s="227" t="inlineStr">
        <is>
          <t>CALCULATED</t>
        </is>
      </c>
    </row>
    <row r="12">
      <c r="A12" s="201" t="inlineStr">
        <is>
          <t>Rice koji (kg)</t>
        </is>
      </c>
      <c r="B12" s="226">
        <f>IFERROR(B8*0.67,"")</f>
        <v/>
      </c>
    </row>
    <row r="13">
      <c r="A13" s="201" t="inlineStr">
        <is>
          <t>Salt (g)</t>
        </is>
      </c>
      <c r="B13" s="226">
        <f>IFERROR(B8*B9*10,"")</f>
        <v/>
      </c>
    </row>
    <row r="14">
      <c r="A14" s="201" t="inlineStr">
        <is>
          <t>Water (mL)</t>
        </is>
      </c>
      <c r="B14" s="226">
        <f>IFERROR(B8*200,"")</f>
        <v/>
      </c>
    </row>
    <row r="16">
      <c r="A16" s="227" t="inlineStr">
        <is>
          <t>PROCESS</t>
        </is>
      </c>
    </row>
    <row r="17">
      <c r="A17" s="201" t="inlineStr">
        <is>
          <t>Mix method</t>
        </is>
      </c>
      <c r="B17" s="217" t="inlineStr">
        <is>
          <t>Combine all, massage daily</t>
        </is>
      </c>
    </row>
    <row r="18">
      <c r="A18" s="201" t="inlineStr">
        <is>
          <t>Fermentation</t>
        </is>
      </c>
      <c r="B18" s="217" t="inlineStr">
        <is>
          <t>7-14 days at 20-25°C</t>
        </is>
      </c>
    </row>
    <row r="19">
      <c r="A19" s="201" t="inlineStr">
        <is>
          <t>Storage</t>
        </is>
      </c>
      <c r="B19" s="217" t="inlineStr">
        <is>
          <t>Refrigerate, use within 6 months</t>
        </is>
      </c>
    </row>
    <row r="22">
      <c r="A22" s="183" t="inlineStr">
        <is>
          <t>AMAZAKE (甘酒) — Sweet Rice Drink</t>
        </is>
      </c>
    </row>
    <row r="24" ht="30" customHeight="1">
      <c r="A24" s="225" t="inlineStr">
        <is>
          <t>Traditional sweet drink made by koji saccharification of rice. No alcohol (unless fermented further). High in glucose, B vitamins, and koji enzymes.</t>
        </is>
      </c>
    </row>
    <row r="26">
      <c r="A26" s="227" t="inlineStr">
        <is>
          <t>INPUTS</t>
        </is>
      </c>
    </row>
    <row r="27">
      <c r="A27" s="201" t="inlineStr">
        <is>
          <t>Target amazake (L)</t>
        </is>
      </c>
      <c r="B27" s="215" t="n"/>
    </row>
    <row r="29">
      <c r="A29" s="227" t="inlineStr">
        <is>
          <t>CALCULATED</t>
        </is>
      </c>
    </row>
    <row r="30">
      <c r="A30" s="201" t="inlineStr">
        <is>
          <t>Rice, dry (kg)</t>
        </is>
      </c>
      <c r="B30" s="226">
        <f>IFERROR(B27*0.25,"")</f>
        <v/>
      </c>
    </row>
    <row r="31">
      <c r="A31" s="201" t="inlineStr">
        <is>
          <t>Rice koji (kg)</t>
        </is>
      </c>
      <c r="B31" s="226">
        <f>IFERROR(B27*0.25,"")</f>
        <v/>
      </c>
    </row>
    <row r="32">
      <c r="A32" s="201" t="inlineStr">
        <is>
          <t>Water (L)</t>
        </is>
      </c>
      <c r="B32" s="226">
        <f>IFERROR(B27*0.6,"")</f>
        <v/>
      </c>
    </row>
    <row r="34">
      <c r="A34" s="227" t="inlineStr">
        <is>
          <t>PROCESS</t>
        </is>
      </c>
    </row>
    <row r="35">
      <c r="A35" s="201" t="inlineStr">
        <is>
          <t>Cook rice</t>
        </is>
      </c>
      <c r="B35" s="217" t="inlineStr">
        <is>
          <t>Soft, slightly wet</t>
        </is>
      </c>
    </row>
    <row r="36">
      <c r="A36" s="201" t="inlineStr">
        <is>
          <t>Cool to</t>
        </is>
      </c>
      <c r="B36" s="217" t="inlineStr">
        <is>
          <t>60°C</t>
        </is>
      </c>
    </row>
    <row r="37">
      <c r="A37" s="201" t="inlineStr">
        <is>
          <t>Mix koji</t>
        </is>
      </c>
      <c r="B37" s="217" t="inlineStr">
        <is>
          <t>Combine, hold 55-60°C</t>
        </is>
      </c>
    </row>
    <row r="38">
      <c r="A38" s="201" t="inlineStr">
        <is>
          <t>Saccharification</t>
        </is>
      </c>
      <c r="B38" s="217" t="inlineStr">
        <is>
          <t>8-12 hours at 55-60°C</t>
        </is>
      </c>
    </row>
    <row r="39">
      <c r="A39" s="201" t="inlineStr">
        <is>
          <t>Storage</t>
        </is>
      </c>
      <c r="B39" s="217" t="inlineStr">
        <is>
          <t>Refrigerate 1 week, freeze longer</t>
        </is>
      </c>
    </row>
    <row r="42">
      <c r="A42" s="183" t="inlineStr">
        <is>
          <t>MISO (味噌) — Fermented Soybean Paste</t>
        </is>
      </c>
    </row>
    <row r="44" ht="30" customHeight="1">
      <c r="A44" s="225" t="inlineStr">
        <is>
          <t>Protein-rich paste fermented 3 months to 3+ years. Koji enzymes break down soy protein into amino acids (umami). Ratio of koji to soy determines sweetness vs. depth.</t>
        </is>
      </c>
    </row>
    <row r="46">
      <c r="A46" s="227" t="inlineStr">
        <is>
          <t>INPUTS</t>
        </is>
      </c>
    </row>
    <row r="47">
      <c r="A47" s="201" t="inlineStr">
        <is>
          <t>Target miso (kg)</t>
        </is>
      </c>
      <c r="B47" s="215" t="n"/>
    </row>
    <row r="48">
      <c r="A48" s="201" t="inlineStr">
        <is>
          <t>Koji ratio</t>
        </is>
      </c>
      <c r="B48" s="215" t="n">
        <v>1</v>
      </c>
    </row>
    <row r="49">
      <c r="A49" s="201" t="inlineStr">
        <is>
          <t>Salt (%)</t>
        </is>
      </c>
      <c r="B49" s="215" t="n">
        <v>12</v>
      </c>
    </row>
    <row r="51">
      <c r="A51" s="227" t="inlineStr">
        <is>
          <t>CALCULATED</t>
        </is>
      </c>
    </row>
    <row r="52">
      <c r="A52" s="201" t="inlineStr">
        <is>
          <t>Soybeans, dry (kg)</t>
        </is>
      </c>
      <c r="B52" s="226">
        <f>IFERROR(B47/(1+B48+B49/100+0.5),"")</f>
        <v/>
      </c>
    </row>
    <row r="53">
      <c r="A53" s="201" t="inlineStr">
        <is>
          <t>Rice koji (kg)</t>
        </is>
      </c>
      <c r="B53" s="226">
        <f>IFERROR(B52*B48,"")</f>
        <v/>
      </c>
    </row>
    <row r="54">
      <c r="A54" s="201" t="inlineStr">
        <is>
          <t>Salt (kg)</t>
        </is>
      </c>
      <c r="B54" s="226">
        <f>IFERROR(B47*B49/100,"")</f>
        <v/>
      </c>
    </row>
    <row r="55">
      <c r="A55" s="201" t="inlineStr">
        <is>
          <t>Soy cooking liquid (mL)</t>
        </is>
      </c>
      <c r="B55" s="226">
        <f>IFERROR(B52*200,"")</f>
        <v/>
      </c>
    </row>
    <row r="57">
      <c r="A57" s="227" t="inlineStr">
        <is>
          <t>MISO STYLES</t>
        </is>
      </c>
    </row>
    <row r="58">
      <c r="A58" s="201" t="inlineStr">
        <is>
          <t>Shiro (white)</t>
        </is>
      </c>
      <c r="B58" s="217" t="inlineStr">
        <is>
          <t>Koji ratio 1.5-2.0, 6-8% salt, 1-3 months</t>
        </is>
      </c>
    </row>
    <row r="59">
      <c r="A59" s="201" t="inlineStr">
        <is>
          <t>Shinshu (yellow)</t>
        </is>
      </c>
      <c r="B59" s="217" t="inlineStr">
        <is>
          <t>Koji ratio 1.0, 12% salt, 6-12 months</t>
        </is>
      </c>
    </row>
    <row r="60">
      <c r="A60" s="201" t="inlineStr">
        <is>
          <t>Aka (red)</t>
        </is>
      </c>
      <c r="B60" s="217" t="inlineStr">
        <is>
          <t>Koji ratio 0.8-1.0, 13% salt, 1-3 years</t>
        </is>
      </c>
    </row>
    <row r="61">
      <c r="A61" s="201" t="inlineStr">
        <is>
          <t>Hatcho</t>
        </is>
      </c>
      <c r="B61" s="217" t="inlineStr">
        <is>
          <t>Soy koji only, 10-12% salt, 2-3 years</t>
        </is>
      </c>
    </row>
    <row r="62">
      <c r="A62" s="201" t="inlineStr">
        <is>
          <t>Mugi (barley)</t>
        </is>
      </c>
      <c r="B62" s="217" t="inlineStr">
        <is>
          <t>Barley koji, ratio 1.0, 10-12%, 1-2 years</t>
        </is>
      </c>
    </row>
    <row r="64">
      <c r="A64" s="227" t="inlineStr">
        <is>
          <t>PROCESS</t>
        </is>
      </c>
    </row>
    <row r="65">
      <c r="A65" s="201" t="inlineStr">
        <is>
          <t>Soak soybeans</t>
        </is>
      </c>
      <c r="B65" s="217" t="inlineStr">
        <is>
          <t>12-24 hours</t>
        </is>
      </c>
    </row>
    <row r="66">
      <c r="A66" s="201" t="inlineStr">
        <is>
          <t>Cook soybeans</t>
        </is>
      </c>
      <c r="B66" s="217" t="inlineStr">
        <is>
          <t>Pressure 45 min or boil 3-4 hr</t>
        </is>
      </c>
    </row>
    <row r="67">
      <c r="A67" s="201" t="inlineStr">
        <is>
          <t>Mash soybeans</t>
        </is>
      </c>
      <c r="B67" s="217" t="inlineStr">
        <is>
          <t>Coarse or smooth</t>
        </is>
      </c>
    </row>
    <row r="68">
      <c r="A68" s="201" t="inlineStr">
        <is>
          <t>Mix salt + koji</t>
        </is>
      </c>
      <c r="B68" s="217" t="inlineStr">
        <is>
          <t>Combine thoroughly</t>
        </is>
      </c>
    </row>
    <row r="69">
      <c r="A69" s="201" t="inlineStr">
        <is>
          <t>Combine</t>
        </is>
      </c>
      <c r="B69" s="217" t="inlineStr">
        <is>
          <t>Cool soy to &lt;40°C, mix all</t>
        </is>
      </c>
    </row>
    <row r="70">
      <c r="A70" s="201" t="inlineStr">
        <is>
          <t>Pack vessel</t>
        </is>
      </c>
      <c r="B70" s="217" t="inlineStr">
        <is>
          <t>Press firmly, no air pockets</t>
        </is>
      </c>
    </row>
    <row r="71">
      <c r="A71" s="201" t="inlineStr">
        <is>
          <t>Weight + seal</t>
        </is>
      </c>
      <c r="B71" s="217" t="inlineStr">
        <is>
          <t>20-30% weight on top</t>
        </is>
      </c>
    </row>
    <row r="72">
      <c r="A72" s="201" t="inlineStr">
        <is>
          <t>Ferment</t>
        </is>
      </c>
      <c r="B72" s="217" t="inlineStr">
        <is>
          <t>Cool dark place, 6 mo - 3 yr</t>
        </is>
      </c>
    </row>
    <row r="75">
      <c r="A75" s="183" t="inlineStr">
        <is>
          <t>MIRIN (味醂) — Sweet Rice Wine</t>
        </is>
      </c>
    </row>
    <row r="77" ht="30" customHeight="1">
      <c r="A77" s="225" t="inlineStr">
        <is>
          <t>Sweet cooking wine (~14% ABV, 40-50% sugar). Glutinous rice saccharified by koji, alcohol from shochu prevents yeast fermentation. Essential for teriyaki, nimono.</t>
        </is>
      </c>
    </row>
    <row r="79">
      <c r="A79" s="227" t="inlineStr">
        <is>
          <t>INPUTS</t>
        </is>
      </c>
    </row>
    <row r="80">
      <c r="A80" s="201" t="inlineStr">
        <is>
          <t>Target mirin (L)</t>
        </is>
      </c>
      <c r="B80" s="215" t="n"/>
    </row>
    <row r="81">
      <c r="A81" s="201" t="inlineStr">
        <is>
          <t>Shochu ABV (%)</t>
        </is>
      </c>
      <c r="B81" s="215" t="n">
        <v>35</v>
      </c>
    </row>
    <row r="83">
      <c r="A83" s="227" t="inlineStr">
        <is>
          <t>CALCULATED</t>
        </is>
      </c>
    </row>
    <row r="84">
      <c r="A84" s="201" t="inlineStr">
        <is>
          <t>Glutinous rice, dry (kg)</t>
        </is>
      </c>
      <c r="B84" s="226">
        <f>IFERROR(B80/1.5*0.42,"")</f>
        <v/>
      </c>
    </row>
    <row r="85">
      <c r="A85" s="201" t="inlineStr">
        <is>
          <t>Rice koji (kg)</t>
        </is>
      </c>
      <c r="B85" s="226">
        <f>IFERROR(B80/1.5*0.16,"")</f>
        <v/>
      </c>
    </row>
    <row r="86">
      <c r="A86" s="201" t="inlineStr">
        <is>
          <t>Shochu (L)</t>
        </is>
      </c>
      <c r="B86" s="226">
        <f>IFERROR(B80*14/B81*1.1,"")</f>
        <v/>
      </c>
    </row>
    <row r="87">
      <c r="A87" s="201" t="inlineStr">
        <is>
          <t>Steamed rice (kg)</t>
        </is>
      </c>
      <c r="B87" s="226">
        <f>IFERROR(B80/1.5*0.42*1.4,"")</f>
        <v/>
      </c>
    </row>
    <row r="89">
      <c r="A89" s="227" t="inlineStr">
        <is>
          <t>PROCESS</t>
        </is>
      </c>
    </row>
    <row r="90">
      <c r="A90" s="201" t="inlineStr">
        <is>
          <t>Steam rice</t>
        </is>
      </c>
      <c r="B90" s="217" t="inlineStr">
        <is>
          <t>Until translucent, firm not sticky</t>
        </is>
      </c>
    </row>
    <row r="91">
      <c r="A91" s="201" t="inlineStr">
        <is>
          <t>Combine all</t>
        </is>
      </c>
      <c r="B91" s="217" t="inlineStr">
        <is>
          <t>Cool rice + koji + shochu</t>
        </is>
      </c>
    </row>
    <row r="92">
      <c r="A92" s="201" t="inlineStr">
        <is>
          <t>Saccharification</t>
        </is>
      </c>
      <c r="B92" s="217" t="inlineStr">
        <is>
          <t>40-60 days at 20-30°C</t>
        </is>
      </c>
    </row>
    <row r="93">
      <c r="A93" s="201" t="inlineStr">
        <is>
          <t>Press</t>
        </is>
      </c>
      <c r="B93" s="217" t="inlineStr">
        <is>
          <t>Strain through cloth</t>
        </is>
      </c>
    </row>
    <row r="94">
      <c r="A94" s="201" t="inlineStr">
        <is>
          <t>Age (optional)</t>
        </is>
      </c>
      <c r="B94" s="217" t="inlineStr">
        <is>
          <t>3-12 months</t>
        </is>
      </c>
    </row>
    <row r="97">
      <c r="A97" s="183" t="inlineStr">
        <is>
          <t>AKAZU (赤酢) — Red Vinegar from Sake Lees</t>
        </is>
      </c>
    </row>
    <row r="99" ht="30" customHeight="1">
      <c r="A99" s="225" t="inlineStr">
        <is>
          <t>Deep red vinegar from aged sake kasu. Defines traditional Edomae sushi. Kasu aged 3-8+ years until red-brown, then fermented with acetic acid bacteria.</t>
        </is>
      </c>
    </row>
    <row r="101">
      <c r="A101" s="227" t="inlineStr">
        <is>
          <t>INPUTS</t>
        </is>
      </c>
    </row>
    <row r="102">
      <c r="A102" s="201" t="inlineStr">
        <is>
          <t>Target akazu (L)</t>
        </is>
      </c>
      <c r="B102" s="215" t="n"/>
    </row>
    <row r="103">
      <c r="A103" s="201" t="inlineStr">
        <is>
          <t>Kasu age (years)</t>
        </is>
      </c>
      <c r="B103" s="215" t="n">
        <v>3</v>
      </c>
    </row>
    <row r="104">
      <c r="A104" s="201" t="inlineStr">
        <is>
          <t>Target acidity (%)</t>
        </is>
      </c>
      <c r="B104" s="215" t="n">
        <v>4.5</v>
      </c>
    </row>
    <row r="106">
      <c r="A106" s="227" t="inlineStr">
        <is>
          <t>CALCULATED</t>
        </is>
      </c>
    </row>
    <row r="107">
      <c r="A107" s="201" t="inlineStr">
        <is>
          <t>Aged sake kasu (kg)</t>
        </is>
      </c>
      <c r="B107" s="226">
        <f>IFERROR(B102*1.8,"")</f>
        <v/>
      </c>
    </row>
    <row r="108">
      <c r="A108" s="201" t="inlineStr">
        <is>
          <t>Water (L)</t>
        </is>
      </c>
      <c r="B108" s="226">
        <f>IFERROR(B102*2.0,"")</f>
        <v/>
      </c>
    </row>
    <row r="109">
      <c r="A109" s="201" t="inlineStr">
        <is>
          <t>Seed vinegar (L)</t>
        </is>
      </c>
      <c r="B109" s="226">
        <f>IFERROR(B102*0.2,"")</f>
        <v/>
      </c>
    </row>
    <row r="111">
      <c r="A111" s="227" t="inlineStr">
        <is>
          <t>PROCESS</t>
        </is>
      </c>
    </row>
    <row r="112">
      <c r="A112" s="201" t="inlineStr">
        <is>
          <t>Extract kasu</t>
        </is>
      </c>
      <c r="B112" s="217" t="inlineStr">
        <is>
          <t>Soak 3-7 days, strain</t>
        </is>
      </c>
    </row>
    <row r="113">
      <c r="A113" s="201" t="inlineStr">
        <is>
          <t>Dilute extract</t>
        </is>
      </c>
      <c r="B113" s="217" t="inlineStr">
        <is>
          <t>To 5-7% alcohol</t>
        </is>
      </c>
    </row>
    <row r="114">
      <c r="A114" s="201" t="inlineStr">
        <is>
          <t>Inoculate</t>
        </is>
      </c>
      <c r="B114" s="217" t="inlineStr">
        <is>
          <t>Add seed vinegar</t>
        </is>
      </c>
    </row>
    <row r="115">
      <c r="A115" s="201" t="inlineStr">
        <is>
          <t>Ferment</t>
        </is>
      </c>
      <c r="B115" s="217" t="inlineStr">
        <is>
          <t>1-3 months at 25-30°C</t>
        </is>
      </c>
    </row>
    <row r="116">
      <c r="A116" s="201" t="inlineStr">
        <is>
          <t>Age (optional)</t>
        </is>
      </c>
      <c r="B116" s="217" t="inlineStr">
        <is>
          <t>3-12 months</t>
        </is>
      </c>
    </row>
    <row r="119">
      <c r="A119" s="183" t="inlineStr">
        <is>
          <t>DOBUROKU (濁酒) — Unfiltered Sake</t>
        </is>
      </c>
    </row>
    <row r="121" ht="30" customHeight="1">
      <c r="A121" s="225" t="inlineStr">
        <is>
          <t>Traditional farmhouse sake, unfiltered. Contains rice solids, active enzymes, and live yeast. Simpler than polished sake—uses table rice, less precise ratios.</t>
        </is>
      </c>
    </row>
    <row r="123">
      <c r="A123" s="227" t="inlineStr">
        <is>
          <t>INPUTS</t>
        </is>
      </c>
    </row>
    <row r="124">
      <c r="A124" s="201" t="inlineStr">
        <is>
          <t>Target doburoku (L)</t>
        </is>
      </c>
      <c r="B124" s="215" t="n"/>
    </row>
    <row r="126">
      <c r="A126" s="227" t="inlineStr">
        <is>
          <t>CALCULATED</t>
        </is>
      </c>
    </row>
    <row r="127">
      <c r="A127" s="201" t="inlineStr">
        <is>
          <t>Rice, dry (kg)</t>
        </is>
      </c>
      <c r="B127" s="226">
        <f>IFERROR(B124*0.3,"")</f>
        <v/>
      </c>
    </row>
    <row r="128">
      <c r="A128" s="201" t="inlineStr">
        <is>
          <t>Rice koji (kg)</t>
        </is>
      </c>
      <c r="B128" s="226">
        <f>IFERROR(B124*0.1,"")</f>
        <v/>
      </c>
    </row>
    <row r="129">
      <c r="A129" s="201" t="inlineStr">
        <is>
          <t>Water (L)</t>
        </is>
      </c>
      <c r="B129" s="226">
        <f>IFERROR(B124*0.8,"")</f>
        <v/>
      </c>
    </row>
    <row r="130">
      <c r="A130" s="201" t="inlineStr">
        <is>
          <t>Yeast</t>
        </is>
      </c>
      <c r="B130" s="226" t="inlineStr">
        <is>
          <t>1-2 g dry or Kyokai #7-9</t>
        </is>
      </c>
    </row>
    <row r="132">
      <c r="A132" s="227" t="inlineStr">
        <is>
          <t>PROCESS</t>
        </is>
      </c>
    </row>
    <row r="133">
      <c r="A133" s="201" t="inlineStr">
        <is>
          <t>Steam rice</t>
        </is>
      </c>
      <c r="B133" s="217" t="inlineStr">
        <is>
          <t>Firm, separate grains</t>
        </is>
      </c>
    </row>
    <row r="134">
      <c r="A134" s="201" t="inlineStr">
        <is>
          <t>Combine</t>
        </is>
      </c>
      <c r="B134" s="217" t="inlineStr">
        <is>
          <t>Rice + koji + water + yeast</t>
        </is>
      </c>
    </row>
    <row r="135">
      <c r="A135" s="201" t="inlineStr">
        <is>
          <t>Ferment</t>
        </is>
      </c>
      <c r="B135" s="217" t="inlineStr">
        <is>
          <t>10-14 days at 15-20°C</t>
        </is>
      </c>
    </row>
    <row r="136">
      <c r="A136" s="201" t="inlineStr">
        <is>
          <t>Serve</t>
        </is>
      </c>
      <c r="B136" s="217" t="inlineStr">
        <is>
          <t>Unfiltered, with solids</t>
        </is>
      </c>
    </row>
    <row r="139">
      <c r="A139" s="183" t="inlineStr">
        <is>
          <t>KASUZUKE (粕漬け) — Sake Lees Pickling</t>
        </is>
      </c>
    </row>
    <row r="141" ht="30" customHeight="1">
      <c r="A141" s="225" t="inlineStr">
        <is>
          <t>Vegetables or fish pickled in sake kasu (lees). Koji enzymes continue working, developing complex umami. Narazuke uses repeated kasu changes over years.</t>
        </is>
      </c>
    </row>
    <row r="143">
      <c r="A143" s="227" t="inlineStr">
        <is>
          <t>INPUTS</t>
        </is>
      </c>
    </row>
    <row r="144">
      <c r="A144" s="201" t="inlineStr">
        <is>
          <t>Vegetables/fish (kg)</t>
        </is>
      </c>
      <c r="B144" s="215" t="n"/>
    </row>
    <row r="146">
      <c r="A146" s="227" t="inlineStr">
        <is>
          <t>CALCULATED</t>
        </is>
      </c>
    </row>
    <row r="147">
      <c r="A147" s="201" t="inlineStr">
        <is>
          <t>Sake kasu (kg)</t>
        </is>
      </c>
      <c r="B147" s="226">
        <f>IFERROR(B144*1.5,"")</f>
        <v/>
      </c>
    </row>
    <row r="148">
      <c r="A148" s="201" t="inlineStr">
        <is>
          <t>Sugar/mirin (g)</t>
        </is>
      </c>
      <c r="B148" s="226">
        <f>IFERROR(B144*50,"")</f>
        <v/>
      </c>
    </row>
    <row r="149">
      <c r="A149" s="201" t="inlineStr">
        <is>
          <t>Salt (g)</t>
        </is>
      </c>
      <c r="B149" s="226">
        <f>IFERROR(B144*30,"")</f>
        <v/>
      </c>
    </row>
    <row r="151">
      <c r="A151" s="227" t="inlineStr">
        <is>
          <t>PROCESS</t>
        </is>
      </c>
    </row>
    <row r="152">
      <c r="A152" s="201" t="inlineStr">
        <is>
          <t>Pre-salt vegetables</t>
        </is>
      </c>
      <c r="B152" s="217" t="inlineStr">
        <is>
          <t>Salt 2-24 hours, drain</t>
        </is>
      </c>
    </row>
    <row r="153">
      <c r="A153" s="201" t="inlineStr">
        <is>
          <t>Prepare kasu bed</t>
        </is>
      </c>
      <c r="B153" s="217" t="inlineStr">
        <is>
          <t>Mix kasu + sugar/mirin</t>
        </is>
      </c>
    </row>
    <row r="154">
      <c r="A154" s="201" t="inlineStr">
        <is>
          <t>Embed items</t>
        </is>
      </c>
      <c r="B154" s="217" t="inlineStr">
        <is>
          <t>Fully surrounded by kasu</t>
        </is>
      </c>
    </row>
    <row r="155">
      <c r="A155" s="201" t="inlineStr">
        <is>
          <t>Ferment</t>
        </is>
      </c>
      <c r="B155" s="217" t="inlineStr">
        <is>
          <t>1 week - 3+ years</t>
        </is>
      </c>
    </row>
    <row r="158">
      <c r="A158" s="183" t="inlineStr">
        <is>
          <t>SHOYU (醤油) — Soy Sauce</t>
        </is>
      </c>
    </row>
    <row r="160" ht="30" customHeight="1">
      <c r="A160" s="225" t="inlineStr">
        <is>
          <t>Traditional Japanese soy sauce. Soybeans and wheat fermented with koji, then aged in brine (moromi) for 6-18+ months. Koji enzymes break down proteins into amino acids (umami) and starches into sugars.</t>
        </is>
      </c>
    </row>
    <row r="161">
      <c r="A161" s="201" t="inlineStr">
        <is>
          <t>Miso ratios</t>
        </is>
      </c>
      <c r="B161" s="202" t="inlineStr">
        <is>
          <t>The Book of Miso (Shurtleff &amp; Aoyagi); J. Brew. Soc. Japan</t>
        </is>
      </c>
    </row>
    <row r="162">
      <c r="A162" s="227" t="inlineStr">
        <is>
          <t>INPUTS</t>
        </is>
      </c>
      <c r="B162" s="202" t="inlineStr">
        <is>
          <t>醸協 Vol.93, 1998; Morita H., 調理科学 19(3), 1986</t>
        </is>
      </c>
    </row>
    <row r="163">
      <c r="A163" s="201" t="inlineStr">
        <is>
          <t>Target shoyu (L)</t>
        </is>
      </c>
      <c r="B163" s="215" t="n"/>
    </row>
    <row r="164">
      <c r="A164" s="201" t="inlineStr">
        <is>
          <t>Soy:wheat ratio</t>
        </is>
      </c>
      <c r="B164" s="215" t="n">
        <v>1</v>
      </c>
    </row>
    <row r="165">
      <c r="A165" s="201" t="inlineStr">
        <is>
          <t>Salt (%)</t>
        </is>
      </c>
      <c r="B165" s="215" t="n">
        <v>18</v>
      </c>
    </row>
    <row r="167">
      <c r="A167" s="227" t="inlineStr">
        <is>
          <t>CALCULATED</t>
        </is>
      </c>
    </row>
    <row r="168">
      <c r="A168" s="201" t="inlineStr">
        <is>
          <t>Soybeans, dry (kg)</t>
        </is>
      </c>
      <c r="B168" s="226">
        <f>IFERROR(B163*1.0/(1+B164),"")</f>
        <v/>
      </c>
    </row>
    <row r="169">
      <c r="A169" s="201" t="inlineStr">
        <is>
          <t>Wheat (kg)</t>
        </is>
      </c>
      <c r="B169" s="226">
        <f>IFERROR(B168*B164,"")</f>
        <v/>
      </c>
    </row>
    <row r="170">
      <c r="A170" s="201" t="inlineStr">
        <is>
          <t>Koji starter (g)</t>
        </is>
      </c>
      <c r="B170" s="226">
        <f>IFERROR((B168+B169)*1.5,"")</f>
        <v/>
      </c>
    </row>
    <row r="171">
      <c r="A171" s="201" t="inlineStr">
        <is>
          <t>Salt (kg)</t>
        </is>
      </c>
      <c r="B171" s="226">
        <f>IFERROR(B163*2.5*B165/100,"")</f>
        <v/>
      </c>
    </row>
    <row r="172">
      <c r="A172" s="201" t="inlineStr">
        <is>
          <t>Water for brine (L)</t>
        </is>
      </c>
      <c r="B172" s="226">
        <f>IFERROR(B163*1.5,"")</f>
        <v/>
      </c>
    </row>
    <row r="174">
      <c r="A174" s="227" t="inlineStr">
        <is>
          <t>SHOYU STYLES</t>
        </is>
      </c>
    </row>
    <row r="175">
      <c r="A175" s="201" t="inlineStr">
        <is>
          <t>Koikuchi (濃口)</t>
        </is>
      </c>
      <c r="B175" s="217" t="inlineStr">
        <is>
          <t>1:1 soy:wheat, 16-18% salt, 12-18 mo</t>
        </is>
      </c>
    </row>
    <row r="176">
      <c r="A176" s="201" t="inlineStr">
        <is>
          <t>Usukuchi (淡口)</t>
        </is>
      </c>
      <c r="B176" s="217" t="inlineStr">
        <is>
          <t>1:1.2 soy:wheat, 18-19% salt, 12 mo</t>
        </is>
      </c>
    </row>
    <row r="177">
      <c r="A177" s="201" t="inlineStr">
        <is>
          <t>Tamari (溜まり)</t>
        </is>
      </c>
      <c r="B177" s="217" t="inlineStr">
        <is>
          <t>Soy only (no wheat), 16% salt, 18+ mo</t>
        </is>
      </c>
    </row>
    <row r="178">
      <c r="A178" s="201" t="inlineStr">
        <is>
          <t>Shiro (白)</t>
        </is>
      </c>
      <c r="B178" s="217" t="inlineStr">
        <is>
          <t>Mostly wheat, 18% salt, 3-6 mo</t>
        </is>
      </c>
    </row>
    <row r="179">
      <c r="A179" s="201" t="inlineStr">
        <is>
          <t>Saishikomi (再仕込)</t>
        </is>
      </c>
      <c r="B179" s="217" t="inlineStr">
        <is>
          <t>Soy in shoyu instead of brine, 2x ferment</t>
        </is>
      </c>
    </row>
    <row r="181">
      <c r="A181" s="227" t="inlineStr">
        <is>
          <t>PROCESS</t>
        </is>
      </c>
    </row>
    <row r="182">
      <c r="A182" s="201" t="inlineStr">
        <is>
          <t>Soak soybeans</t>
        </is>
      </c>
      <c r="B182" s="217" t="inlineStr">
        <is>
          <t>12-18 hours</t>
        </is>
      </c>
    </row>
    <row r="183">
      <c r="A183" s="201" t="inlineStr">
        <is>
          <t>Cook soybeans</t>
        </is>
      </c>
      <c r="B183" s="217" t="inlineStr">
        <is>
          <t>Steam or pressure cook until soft</t>
        </is>
      </c>
    </row>
    <row r="184">
      <c r="A184" s="201" t="inlineStr">
        <is>
          <t>Roast wheat</t>
        </is>
      </c>
      <c r="B184" s="217" t="inlineStr">
        <is>
          <t>Dry roast until fragrant, crack</t>
        </is>
      </c>
    </row>
    <row r="185">
      <c r="A185" s="201" t="inlineStr">
        <is>
          <t>Mix &amp; inoculate</t>
        </is>
      </c>
      <c r="B185" s="217" t="inlineStr">
        <is>
          <t>Combine warm soy + wheat + koji spores</t>
        </is>
      </c>
    </row>
    <row r="186">
      <c r="A186" s="201" t="inlineStr">
        <is>
          <t>Koji incubation</t>
        </is>
      </c>
      <c r="B186" s="217" t="inlineStr">
        <is>
          <t>3 days at 25-30°C</t>
        </is>
      </c>
    </row>
    <row r="187">
      <c r="A187" s="201" t="inlineStr">
        <is>
          <t>Make moromi</t>
        </is>
      </c>
      <c r="B187" s="217" t="inlineStr">
        <is>
          <t>Add koji to brine in vessel</t>
        </is>
      </c>
    </row>
    <row r="188">
      <c r="A188" s="201" t="inlineStr">
        <is>
          <t>Ferment (moromi)</t>
        </is>
      </c>
      <c r="B188" s="217" t="inlineStr">
        <is>
          <t>6-18 months at ambient</t>
        </is>
      </c>
    </row>
    <row r="189">
      <c r="A189" s="201" t="inlineStr">
        <is>
          <t>Press</t>
        </is>
      </c>
      <c r="B189" s="217" t="inlineStr">
        <is>
          <t>Strain through cloth, press solids</t>
        </is>
      </c>
    </row>
    <row r="190">
      <c r="A190" s="201" t="inlineStr">
        <is>
          <t>Pasteurize (optional)</t>
        </is>
      </c>
      <c r="B190" s="217" t="inlineStr">
        <is>
          <t>Heat to 80°C</t>
        </is>
      </c>
    </row>
    <row r="193">
      <c r="A193" s="183" t="inlineStr">
        <is>
          <t>TAMARI (溜まり) — Wheat-Free Soy Sauce</t>
        </is>
      </c>
    </row>
    <row r="195" ht="30" customHeight="1">
      <c r="A195" s="225" t="inlineStr">
        <is>
          <t>Originally the liquid that pools atop aging miso. Modern tamari uses soybeans only (no wheat), producing thicker, richer sauce with deeper umami. Traditional to Aichi prefecture. Gluten-free.</t>
        </is>
      </c>
    </row>
    <row r="197">
      <c r="A197" s="227" t="inlineStr">
        <is>
          <t>INPUTS</t>
        </is>
      </c>
    </row>
    <row r="198">
      <c r="A198" s="201" t="inlineStr">
        <is>
          <t>Target tamari (L)</t>
        </is>
      </c>
      <c r="B198" s="215" t="n"/>
    </row>
    <row r="199">
      <c r="A199" s="201" t="inlineStr">
        <is>
          <t>Salt (%)</t>
        </is>
      </c>
      <c r="B199" s="215" t="n">
        <v>16</v>
      </c>
    </row>
    <row r="201">
      <c r="A201" s="227" t="inlineStr">
        <is>
          <t>CALCULATED</t>
        </is>
      </c>
    </row>
    <row r="202">
      <c r="A202" s="201" t="inlineStr">
        <is>
          <t>Soybeans, dry (kg)</t>
        </is>
      </c>
      <c r="B202" s="226">
        <f>IFERROR(B198*1.8,"")</f>
        <v/>
      </c>
    </row>
    <row r="203">
      <c r="A203" s="201" t="inlineStr">
        <is>
          <t>Koji starter (g)</t>
        </is>
      </c>
      <c r="B203" s="226">
        <f>IFERROR(B202*1.5,"")</f>
        <v/>
      </c>
    </row>
    <row r="204">
      <c r="A204" s="201" t="inlineStr">
        <is>
          <t>Salt (kg)</t>
        </is>
      </c>
      <c r="B204" s="226">
        <f>IFERROR(B198*2.8*B199/100,"")</f>
        <v/>
      </c>
    </row>
    <row r="205">
      <c r="A205" s="201" t="inlineStr">
        <is>
          <t>Water for brine (L)</t>
        </is>
      </c>
      <c r="B205" s="226">
        <f>IFERROR(B198*1.2,"")</f>
        <v/>
      </c>
    </row>
    <row r="207">
      <c r="A207" s="227" t="inlineStr">
        <is>
          <t>PROCESS</t>
        </is>
      </c>
    </row>
    <row r="208">
      <c r="A208" s="201" t="inlineStr">
        <is>
          <t>Soak &amp; cook soy</t>
        </is>
      </c>
      <c r="B208" s="217" t="inlineStr">
        <is>
          <t>Same as shoyu</t>
        </is>
      </c>
    </row>
    <row r="209">
      <c r="A209" s="201" t="inlineStr">
        <is>
          <t>Form miso-dama</t>
        </is>
      </c>
      <c r="B209" s="217" t="inlineStr">
        <is>
          <t>Shape into balls (optional)</t>
        </is>
      </c>
    </row>
    <row r="210">
      <c r="A210" s="201" t="inlineStr">
        <is>
          <t>Koji incubation</t>
        </is>
      </c>
      <c r="B210" s="217" t="inlineStr">
        <is>
          <t>3-4 days at 28-32°C</t>
        </is>
      </c>
    </row>
    <row r="211">
      <c r="A211" s="201" t="inlineStr">
        <is>
          <t>Ferment</t>
        </is>
      </c>
      <c r="B211" s="217" t="inlineStr">
        <is>
          <t>18-36 months</t>
        </is>
      </c>
    </row>
    <row r="212">
      <c r="A212" s="201" t="inlineStr">
        <is>
          <t>Press &amp; age</t>
        </is>
      </c>
      <c r="B212" s="217" t="inlineStr">
        <is>
          <t>Press, settle, optional pasteurize</t>
        </is>
      </c>
    </row>
    <row r="215">
      <c r="A215" s="183" t="inlineStr">
        <is>
          <t>REFERENCES</t>
        </is>
      </c>
    </row>
    <row r="217">
      <c r="A217" s="201" t="inlineStr">
        <is>
          <t>Shio koji / amazake</t>
        </is>
      </c>
      <c r="B217" s="202" t="inlineStr">
        <is>
          <t>Traditional ratios (Marukome, Yamasa); 発酵食品学; J. Brew. Soc. Japan</t>
        </is>
      </c>
    </row>
    <row r="218">
      <c r="A218" s="201" t="inlineStr">
        <is>
          <t>Miso ratios</t>
        </is>
      </c>
      <c r="B218" s="202" t="inlineStr">
        <is>
          <t>The Book of Miso (Shurtleff &amp; Aoyagi); J. Brew. Soc. Japan</t>
        </is>
      </c>
    </row>
    <row r="219">
      <c r="A219" s="201" t="inlineStr">
        <is>
          <t>Mirin production</t>
        </is>
      </c>
      <c r="B219" s="202" t="inlineStr">
        <is>
          <t>醸協 Vol.93, 1998; Morita H., 調理科学 19(3), 1986</t>
        </is>
      </c>
    </row>
    <row r="220">
      <c r="A220" s="201" t="inlineStr">
        <is>
          <t>Akazu tradition</t>
        </is>
      </c>
      <c r="B220" s="202" t="inlineStr">
        <is>
          <t>Yokoi Vinegar (Handa); Adams M., Food Microbiology, 1998</t>
        </is>
      </c>
    </row>
    <row r="221">
      <c r="A221" s="201" t="inlineStr">
        <is>
          <t>Doburoku</t>
        </is>
      </c>
      <c r="B221" s="202" t="inlineStr">
        <is>
          <t>Traditional farmhouse methods; pre-1899 home brewing practice</t>
        </is>
      </c>
    </row>
    <row r="222">
      <c r="A222" s="201" t="inlineStr">
        <is>
          <t>Shoyu / tamari</t>
        </is>
      </c>
      <c r="B222" s="202" t="inlineStr">
        <is>
          <t>Kikkoman technical literature; The Book of Miso; 醤油の科学</t>
        </is>
      </c>
    </row>
  </sheetData>
  <mergeCells count="29">
    <mergeCell ref="A99:F99"/>
    <mergeCell ref="B218:F218"/>
    <mergeCell ref="A193:F193"/>
    <mergeCell ref="A75:F75"/>
    <mergeCell ref="A158:F158"/>
    <mergeCell ref="A3:F3"/>
    <mergeCell ref="A139:F139"/>
    <mergeCell ref="B220:F220"/>
    <mergeCell ref="A195:F195"/>
    <mergeCell ref="B219:F219"/>
    <mergeCell ref="A160:F160"/>
    <mergeCell ref="A42:F42"/>
    <mergeCell ref="B161:F161"/>
    <mergeCell ref="A5:F5"/>
    <mergeCell ref="A141:F141"/>
    <mergeCell ref="A22:F22"/>
    <mergeCell ref="A97:F97"/>
    <mergeCell ref="A215:F215"/>
    <mergeCell ref="B221:F221"/>
    <mergeCell ref="B162:F162"/>
    <mergeCell ref="A121:F121"/>
    <mergeCell ref="A44:F44"/>
    <mergeCell ref="B217:F217"/>
    <mergeCell ref="A77:F77"/>
    <mergeCell ref="A24:F24"/>
    <mergeCell ref="B164:F164"/>
    <mergeCell ref="B222:F222"/>
    <mergeCell ref="A119:F119"/>
    <mergeCell ref="B163:F163"/>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60"/>
  <sheetViews>
    <sheetView zoomScale="120" workbookViewId="0">
      <selection activeCell="A1" sqref="A1"/>
    </sheetView>
  </sheetViews>
  <sheetFormatPr baseColWidth="8" defaultRowHeight="15"/>
  <cols>
    <col width="22" customWidth="1" min="1" max="1"/>
    <col width="14" customWidth="1" min="2" max="2"/>
    <col width="10" customWidth="1" min="3" max="3"/>
    <col width="14" customWidth="1" min="4" max="4"/>
    <col width="14" customWidth="1" min="5" max="5"/>
    <col width="14" customWidth="1" min="6" max="6"/>
    <col width="14" customWidth="1" min="7" max="7"/>
  </cols>
  <sheetData>
    <row r="1">
      <c r="A1" s="164" t="inlineStr">
        <is>
          <t>Soak Time Calculator</t>
        </is>
      </c>
    </row>
    <row r="3">
      <c r="A3" s="163" t="inlineStr">
        <is>
          <t>SOAK PARAMETERS</t>
        </is>
      </c>
    </row>
    <row r="4">
      <c r="A4" s="165" t="inlineStr">
        <is>
          <t>Wash water temp</t>
        </is>
      </c>
      <c r="B4" s="175" t="n">
        <v>10</v>
      </c>
      <c r="C4" s="165" t="inlineStr">
        <is>
          <t>°C</t>
        </is>
      </c>
      <c r="D4" s="167" t="inlineStr">
        <is>
          <t>Cold water slows absorption during wash</t>
        </is>
      </c>
    </row>
    <row r="5">
      <c r="A5" t="inlineStr">
        <is>
          <t>Wash time</t>
        </is>
      </c>
      <c r="B5" s="176" t="n">
        <v>3</v>
      </c>
      <c r="C5" t="inlineStr">
        <is>
          <t>min</t>
        </is>
      </c>
      <c r="D5" t="inlineStr">
        <is>
          <t>Gentle motion only to prevent cracking</t>
        </is>
      </c>
    </row>
    <row r="6">
      <c r="A6" t="inlineStr">
        <is>
          <t>Soak water temp</t>
        </is>
      </c>
      <c r="B6" s="176" t="n">
        <v>10</v>
      </c>
      <c r="C6" t="inlineStr">
        <is>
          <t>°C</t>
        </is>
      </c>
      <c r="D6" t="inlineStr">
        <is>
          <t>Match wash temp; colder = more control</t>
        </is>
      </c>
    </row>
    <row r="7">
      <c r="A7" t="inlineStr">
        <is>
          <t>Actual soak time</t>
        </is>
      </c>
      <c r="B7" s="176" t="inlineStr"/>
      <c r="C7" t="inlineStr">
        <is>
          <t>min</t>
        </is>
      </c>
      <c r="D7" t="inlineStr">
        <is>
          <t>Record actual - compare to recommended below</t>
        </is>
      </c>
    </row>
    <row r="8">
      <c r="A8" t="inlineStr">
        <is>
          <t>Rice storage temp</t>
        </is>
      </c>
      <c r="B8" s="176" t="n">
        <v>15</v>
      </c>
      <c r="C8" t="inlineStr">
        <is>
          <t>°C</t>
        </is>
      </c>
      <c r="D8" t="inlineStr">
        <is>
          <t>Match both wash &amp; soak temps to this</t>
        </is>
      </c>
    </row>
    <row r="9">
      <c r="A9" t="inlineStr">
        <is>
          <t>Cracking risk</t>
        </is>
      </c>
      <c r="B9" s="171">
        <f>IFERROR(IF(OR(B4="",B6="",B8=""),"",MAX(ABS(B4-B8),ABS(B6-B8))),"")</f>
        <v/>
      </c>
      <c r="C9" t="inlineStr">
        <is>
          <t>°C max</t>
        </is>
      </c>
      <c r="D9" s="171">
        <f>IFERROR(IF(B9="","",IF(B9&gt;10,"⚠ HIGH - grains will crack!",IF(B9&gt;5,"Caution - handle gently","OK - safe"))),"")</f>
        <v/>
      </c>
    </row>
    <row r="10">
      <c r="A10" s="165" t="inlineStr">
        <is>
          <t>Rice lot</t>
        </is>
      </c>
      <c r="B10" s="168" t="inlineStr">
        <is>
          <t>Lot A</t>
        </is>
      </c>
    </row>
    <row r="11">
      <c r="A11" s="165" t="inlineStr">
        <is>
          <t>Polish ratio</t>
        </is>
      </c>
      <c r="B11" s="169">
        <f>IFERROR(IF(B10="Lot A",IF(Recipe!C11="","→ See Recipe",Recipe!C11),IF(B10="Lot B",IF(Recipe!C12="","→ See Recipe",Recipe!C12),IF(B10="Lot C",IF(Recipe!C13="","→ See Recipe",Recipe!C13),IF(B10="Lot D",IF(Recipe!C14="","→ See Recipe",Recipe!C14),"→ See Recipe")))),"→ See Recipe")</f>
        <v/>
      </c>
      <c r="C11" s="165" t="inlineStr">
        <is>
          <t>%</t>
        </is>
      </c>
    </row>
    <row r="12">
      <c r="A12" s="165" t="inlineStr">
        <is>
          <t>Variety</t>
        </is>
      </c>
      <c r="B12" s="169">
        <f>IFERROR(IF(B10="Lot A",IF(OR(Recipe!B11="",Recipe!B11="Select ▽"),"→ See Recipe",Recipe!B11),IF(B10="Lot B",IF(OR(Recipe!B12="",Recipe!B12="Select ▽"),"→ See Recipe",Recipe!B12),IF(B10="Lot C",IF(OR(Recipe!B13="",Recipe!B13="Select ▽"),"→ See Recipe",Recipe!B13),IF(B10="Lot D",IF(OR(Recipe!B14="",Recipe!B14="Select ▽"),"→ See Recipe",Recipe!B14),"→ See Recipe")))),"→ See Recipe")</f>
        <v/>
      </c>
    </row>
    <row r="14">
      <c r="A14" s="163" t="inlineStr">
        <is>
          <t>CALCULATED TARGETS</t>
        </is>
      </c>
    </row>
    <row r="15">
      <c r="A15" s="165" t="inlineStr">
        <is>
          <t>Base soak time</t>
        </is>
      </c>
      <c r="B15" s="169">
        <f>IFERROR(IF(B11="","",IF(B11&gt;=85,ROUND(90+(100-B11)*3,0),IF(B11&gt;=70,ROUND(30+(85-B11)*2,0),IF(B11&gt;=60,ROUND(10+(70-B11)*2,0),IF(B11&gt;=50,ROUND(8+(60-B11)*0.4,0),IF(B11&gt;=40,ROUND(4+(50-B11)*0.4,0),ROUND(1+(40-B11)*0.3,0))))))),"—")</f>
        <v/>
      </c>
      <c r="C15" s="165" t="inlineStr">
        <is>
          <t>min</t>
        </is>
      </c>
    </row>
    <row r="16">
      <c r="A16" s="165" t="inlineStr">
        <is>
          <t>Temp adjustment</t>
        </is>
      </c>
      <c r="B16" s="169">
        <f>IFERROR(IF(OR(B6="",B11=""),"",ROUND((15-B6)*0.5,1)),"—")</f>
        <v/>
      </c>
      <c r="C16" s="165" t="inlineStr">
        <is>
          <t>min</t>
        </is>
      </c>
      <c r="D16" s="167" t="inlineStr">
        <is>
          <t>15°C baseline; colder = longer</t>
        </is>
      </c>
    </row>
    <row r="17">
      <c r="A17" s="165" t="inlineStr">
        <is>
          <t>Recommended soak</t>
        </is>
      </c>
      <c r="B17" s="170">
        <f>IFERROR(IF(B15="","",MAX(1,ROUND(B15+B16,0))),"—")</f>
        <v/>
      </c>
      <c r="C17" s="165" t="inlineStr">
        <is>
          <t>min</t>
        </is>
      </c>
      <c r="D17" s="171">
        <f>IFERROR(IF(OR(B7="",B17=""),"",IF(B7&gt;B17*1.2,"⚠ Over-soaked!",IF(B7&lt;B17*0.8,"⚠ Under-soaked","✓ Good"))),"")</f>
        <v/>
      </c>
    </row>
    <row r="18">
      <c r="A18" s="165" t="inlineStr">
        <is>
          <t>Target absorption</t>
        </is>
      </c>
      <c r="B18" s="169">
        <f>IFERROR(IF(B11="","",ROUND(34-(100-B11)*0.15,0)),"—")</f>
        <v/>
      </c>
      <c r="C18" s="165" t="inlineStr">
        <is>
          <t>%</t>
        </is>
      </c>
      <c r="D18" s="167" t="inlineStr">
        <is>
          <t>Weight gain from dry rice</t>
        </is>
      </c>
    </row>
    <row r="19">
      <c r="A19" s="165" t="inlineStr">
        <is>
          <t>Karashi rest</t>
        </is>
      </c>
      <c r="B19" s="176" t="n">
        <v>60</v>
      </c>
      <c r="C19" s="165" t="inlineStr">
        <is>
          <t>min</t>
        </is>
      </c>
      <c r="D19" s="167" t="inlineStr">
        <is>
          <t>45 min minimum; some brewers do 24 hrs</t>
        </is>
      </c>
    </row>
    <row r="20">
      <c r="A20" t="inlineStr">
        <is>
          <t>Fat extraction</t>
        </is>
      </c>
      <c r="B20" s="171">
        <f>IFERROR(IF(B4="","",IF(B4&lt;10,"Low",IF(B4&lt;15,"Moderate","Good"))),"—")</f>
        <v/>
      </c>
      <c r="D20" t="inlineStr">
        <is>
          <t>Warmer wash = more lipid removal</t>
        </is>
      </c>
    </row>
    <row r="21">
      <c r="A21" s="174" t="inlineStr">
        <is>
          <t>FAT EXTRACTION GUIDE</t>
        </is>
      </c>
    </row>
    <row r="22">
      <c r="A22" s="172" t="inlineStr">
        <is>
          <t>Water temp</t>
        </is>
      </c>
      <c r="B22" s="172" t="inlineStr">
        <is>
          <t>Time needed</t>
        </is>
      </c>
      <c r="C22" s="172" t="inlineStr">
        <is>
          <t>Fats extracted</t>
        </is>
      </c>
      <c r="D22" s="172" t="inlineStr">
        <is>
          <t>Polish guidance</t>
        </is>
      </c>
    </row>
    <row r="23">
      <c r="A23" t="inlineStr">
        <is>
          <t>5-8°C</t>
        </is>
      </c>
      <c r="B23" t="inlineStr">
        <is>
          <t>10+ min</t>
        </is>
      </c>
      <c r="C23" t="inlineStr">
        <is>
          <t>Linoleic only (mp -5°C)</t>
        </is>
      </c>
      <c r="D23" t="inlineStr">
        <is>
          <t>≤50% daiginjo - timing control critical</t>
        </is>
      </c>
    </row>
    <row r="24">
      <c r="A24" t="inlineStr">
        <is>
          <t>8-12°C</t>
        </is>
      </c>
      <c r="B24" t="inlineStr">
        <is>
          <t>5-8 min</t>
        </is>
      </c>
      <c r="C24" t="inlineStr">
        <is>
          <t>Linoleic + partial oleic</t>
        </is>
      </c>
      <c r="D24" t="inlineStr">
        <is>
          <t>50-60% ginjo - balance of control &amp; extraction</t>
        </is>
      </c>
    </row>
    <row r="25">
      <c r="A25" t="inlineStr">
        <is>
          <t>12-15°C</t>
        </is>
      </c>
      <c r="B25" t="inlineStr">
        <is>
          <t>3-5 min</t>
        </is>
      </c>
      <c r="C25" t="inlineStr">
        <is>
          <t>Linoleic + oleic (mp 13°C)</t>
        </is>
      </c>
      <c r="D25" t="inlineStr">
        <is>
          <t>70% junmai - good fat removal</t>
        </is>
      </c>
    </row>
    <row r="26">
      <c r="A26" t="inlineStr">
        <is>
          <t>15-18°C</t>
        </is>
      </c>
      <c r="B26" t="inlineStr">
        <is>
          <t>3-5 min</t>
        </is>
      </c>
      <c r="C26" t="inlineStr">
        <is>
          <t>Most unsaturated (75%)</t>
        </is>
      </c>
      <c r="D26" t="inlineStr">
        <is>
          <t>80% standard - thorough extraction</t>
        </is>
      </c>
    </row>
    <row r="27">
      <c r="A27" t="inlineStr">
        <is>
          <t>18-25°C</t>
        </is>
      </c>
      <c r="B27" t="inlineStr">
        <is>
          <t>2-3 min</t>
        </is>
      </c>
      <c r="C27" t="inlineStr">
        <is>
          <t>All except palmitic (mp 63°C)</t>
        </is>
      </c>
      <c r="D27" t="inlineStr">
        <is>
          <t>90% table rice - fast extraction OK</t>
        </is>
      </c>
    </row>
    <row r="28">
      <c r="A28" s="172" t="inlineStr">
        <is>
          <t>FAT TYPES IN NUKA:</t>
        </is>
      </c>
    </row>
    <row r="29">
      <c r="A29" t="inlineStr">
        <is>
          <t>• Oleic (38-44%, mp 13°C) - suppresses ester formation if not removed</t>
        </is>
      </c>
    </row>
    <row r="30">
      <c r="A30" t="inlineStr">
        <is>
          <t>• Linoleic (28-35%, mp -5°C) - always mobile in cold water, extracts easily</t>
        </is>
      </c>
    </row>
    <row r="31">
      <c r="A31" s="163" t="inlineStr">
        <is>
          <t>REFERENCE TABLE</t>
        </is>
      </c>
    </row>
    <row r="32">
      <c r="A32" s="172" t="inlineStr">
        <is>
          <t>Polish %</t>
        </is>
      </c>
      <c r="B32" s="172" t="inlineStr">
        <is>
          <t>Soak time</t>
        </is>
      </c>
      <c r="C32" s="172" t="inlineStr">
        <is>
          <t>Target %</t>
        </is>
      </c>
      <c r="D32" s="172" t="inlineStr">
        <is>
          <t>Grade</t>
        </is>
      </c>
      <c r="E32" s="172" t="inlineStr">
        <is>
          <t>Critical window</t>
        </is>
      </c>
    </row>
    <row r="33">
      <c r="A33" s="100" t="n">
        <v>90</v>
      </c>
      <c r="B33" t="inlineStr">
        <is>
          <t>60-120</t>
        </is>
      </c>
      <c r="C33" t="inlineStr">
        <is>
          <t>30-32</t>
        </is>
      </c>
      <c r="D33" t="inlineStr">
        <is>
          <t>Futsu-shu</t>
        </is>
      </c>
      <c r="E33" t="inlineStr">
        <is>
          <t>Wide - forgiving</t>
        </is>
      </c>
    </row>
    <row r="34">
      <c r="A34" s="100" t="n">
        <v>80</v>
      </c>
      <c r="B34" t="inlineStr">
        <is>
          <t>40-60</t>
        </is>
      </c>
      <c r="C34" t="inlineStr">
        <is>
          <t>29-31</t>
        </is>
      </c>
      <c r="D34" t="inlineStr">
        <is>
          <t>Junmai</t>
        </is>
      </c>
      <c r="E34" t="inlineStr">
        <is>
          <t>Moderate</t>
        </is>
      </c>
    </row>
    <row r="35">
      <c r="A35" s="100" t="n">
        <v>70</v>
      </c>
      <c r="B35" t="inlineStr">
        <is>
          <t>20-40</t>
        </is>
      </c>
      <c r="C35" t="inlineStr">
        <is>
          <t>28-30</t>
        </is>
      </c>
      <c r="D35" t="inlineStr">
        <is>
          <t>Tokubetsu</t>
        </is>
      </c>
      <c r="E35" t="inlineStr">
        <is>
          <t>Moderate</t>
        </is>
      </c>
    </row>
    <row r="36">
      <c r="A36" s="100" t="n">
        <v>60</v>
      </c>
      <c r="B36" t="inlineStr">
        <is>
          <t>10-20</t>
        </is>
      </c>
      <c r="C36" t="inlineStr">
        <is>
          <t>26-28</t>
        </is>
      </c>
      <c r="D36" t="inlineStr">
        <is>
          <t>Ginjo</t>
        </is>
      </c>
      <c r="E36" t="inlineStr">
        <is>
          <t>1-3 min critical</t>
        </is>
      </c>
    </row>
    <row r="37">
      <c r="A37" s="100" t="n">
        <v>50</v>
      </c>
      <c r="B37" t="inlineStr">
        <is>
          <t>5-15</t>
        </is>
      </c>
      <c r="C37" t="inlineStr">
        <is>
          <t>24-26</t>
        </is>
      </c>
      <c r="D37" t="inlineStr">
        <is>
          <t>Daiginjo</t>
        </is>
      </c>
      <c r="E37" t="inlineStr">
        <is>
          <t>Seconds matter</t>
        </is>
      </c>
    </row>
    <row r="38">
      <c r="A38" s="100" t="n">
        <v>40</v>
      </c>
      <c r="B38" t="inlineStr">
        <is>
          <t>3-8</t>
        </is>
      </c>
      <c r="C38" t="inlineStr">
        <is>
          <t>22-24</t>
        </is>
      </c>
      <c r="D38" t="inlineStr">
        <is>
          <t>Competition</t>
        </is>
      </c>
      <c r="E38" t="inlineStr">
        <is>
          <t>Stopwatch + gentle handling</t>
        </is>
      </c>
    </row>
    <row r="39">
      <c r="A39" s="100" t="n">
        <v>35</v>
      </c>
      <c r="B39" t="inlineStr">
        <is>
          <t>1-5</t>
        </is>
      </c>
      <c r="C39" t="inlineStr">
        <is>
          <t>20-22</t>
        </is>
      </c>
      <c r="D39" t="inlineStr">
        <is>
          <t>Ultra-polish</t>
        </is>
      </c>
      <c r="E39" t="inlineStr">
        <is>
          <t>Extreme precision + fragile!</t>
        </is>
      </c>
    </row>
    <row r="41">
      <c r="A41" s="163" t="inlineStr">
        <is>
          <t>SOAK TEST LOG</t>
        </is>
      </c>
    </row>
    <row r="42">
      <c r="A42" s="172" t="inlineStr">
        <is>
          <t>Sample</t>
        </is>
      </c>
      <c r="B42" s="172" t="inlineStr">
        <is>
          <t>Dry (g)</t>
        </is>
      </c>
      <c r="C42" s="172" t="inlineStr">
        <is>
          <t>Wet (g)</t>
        </is>
      </c>
      <c r="D42" s="172" t="inlineStr">
        <is>
          <t>Gain %</t>
        </is>
      </c>
      <c r="E42" s="172" t="inlineStr">
        <is>
          <t>Time (min)</t>
        </is>
      </c>
      <c r="F42" s="172" t="inlineStr">
        <is>
          <t>Status</t>
        </is>
      </c>
      <c r="G42" s="172" t="inlineStr">
        <is>
          <t>Notes</t>
        </is>
      </c>
    </row>
    <row r="43">
      <c r="A43" t="n">
        <v>1</v>
      </c>
      <c r="B43" s="166" t="n"/>
      <c r="C43" s="166" t="n"/>
      <c r="D43" s="169">
        <f>IFERROR(IF(B43="","",ROUND((C43-B43)/B43*100,1)),"")</f>
        <v/>
      </c>
      <c r="E43" s="166" t="n"/>
      <c r="F43" s="169">
        <f>IFERROR(IF(D43="","",IF(ABS(D43-$B$18)&lt;=2,"OK",IF(D43&lt;$B$18,"Under","Over"))),"")</f>
        <v/>
      </c>
      <c r="G43" s="173" t="n"/>
    </row>
    <row r="44">
      <c r="A44" t="n">
        <v>2</v>
      </c>
      <c r="B44" s="166" t="n"/>
      <c r="C44" s="166" t="n"/>
      <c r="D44" s="169">
        <f>IFERROR(IF(B44="","",ROUND((C44-B44)/B44*100,1)),"")</f>
        <v/>
      </c>
      <c r="E44" s="166" t="n"/>
      <c r="F44" s="169">
        <f>IFERROR(IF(D44="","",IF(ABS(D44-$B$18)&lt;=2,"OK",IF(D44&lt;$B$18,"Under","Over"))),"")</f>
        <v/>
      </c>
      <c r="G44" s="173" t="n"/>
    </row>
    <row r="45">
      <c r="A45" t="n">
        <v>3</v>
      </c>
      <c r="B45" s="166" t="n"/>
      <c r="C45" s="166" t="n"/>
      <c r="D45" s="169">
        <f>IFERROR(IF(B45="","",ROUND((C45-B45)/B45*100,1)),"")</f>
        <v/>
      </c>
      <c r="E45" s="166" t="n"/>
      <c r="F45" s="169">
        <f>IFERROR(IF(D45="","",IF(ABS(D45-$B$18)&lt;=2,"OK",IF(D45&lt;$B$18,"Under","Over"))),"")</f>
        <v/>
      </c>
      <c r="G45" s="173" t="n"/>
    </row>
    <row r="46">
      <c r="A46" t="n">
        <v>4</v>
      </c>
      <c r="B46" s="166" t="n"/>
      <c r="C46" s="166" t="n"/>
      <c r="D46" s="169">
        <f>IFERROR(IF(B46="","",ROUND((C46-B46)/B46*100,1)),"")</f>
        <v/>
      </c>
      <c r="E46" s="166" t="n"/>
      <c r="F46" s="169">
        <f>IFERROR(IF(D46="","",IF(ABS(D46-$B$18)&lt;=2,"OK",IF(D46&lt;$B$18,"Under","Over"))),"")</f>
        <v/>
      </c>
      <c r="G46" s="173" t="n"/>
    </row>
    <row r="47">
      <c r="A47" t="n">
        <v>5</v>
      </c>
      <c r="B47" s="166" t="n"/>
      <c r="C47" s="166" t="n"/>
      <c r="D47" s="169">
        <f>IFERROR(IF(B47="","",ROUND((C47-B47)/B47*100,1)),"")</f>
        <v/>
      </c>
      <c r="E47" s="166" t="n"/>
      <c r="F47" s="169">
        <f>IFERROR(IF(D47="","",IF(ABS(D47-$B$18)&lt;=2,"OK",IF(D47&lt;$B$18,"Under","Over"))),"")</f>
        <v/>
      </c>
      <c r="G47" s="173" t="n"/>
    </row>
    <row r="48">
      <c r="A48" t="n">
        <v>6</v>
      </c>
      <c r="B48" s="166" t="n"/>
      <c r="C48" s="166" t="n"/>
      <c r="D48" s="169">
        <f>IFERROR(IF(B48="","",ROUND((C48-B48)/B48*100,1)),"")</f>
        <v/>
      </c>
      <c r="E48" s="166" t="n"/>
      <c r="F48" s="169">
        <f>IFERROR(IF(D48="","",IF(ABS(D48-$B$18)&lt;=2,"OK",IF(D48&lt;$B$18,"Under","Over"))),"")</f>
        <v/>
      </c>
      <c r="G48" s="173" t="n"/>
    </row>
    <row r="49">
      <c r="A49" t="n">
        <v>7</v>
      </c>
      <c r="B49" s="166" t="n"/>
      <c r="C49" s="166" t="n"/>
      <c r="D49" s="169">
        <f>IFERROR(IF(B49="","",ROUND((C49-B49)/B49*100,1)),"")</f>
        <v/>
      </c>
      <c r="E49" s="166" t="n"/>
      <c r="F49" s="169">
        <f>IFERROR(IF(D49="","",IF(ABS(D49-$B$18)&lt;=2,"OK",IF(D49&lt;$B$18,"Under","Over"))),"")</f>
        <v/>
      </c>
      <c r="G49" s="173" t="n"/>
    </row>
    <row r="50">
      <c r="A50" t="n">
        <v>8</v>
      </c>
      <c r="B50" s="166" t="n"/>
      <c r="C50" s="166" t="n"/>
      <c r="D50" s="169">
        <f>IFERROR(IF(B50="","",ROUND((C50-B50)/B50*100,1)),"")</f>
        <v/>
      </c>
      <c r="E50" s="166" t="n"/>
      <c r="F50" s="169">
        <f>IFERROR(IF(D50="","",IF(ABS(D50-$B$18)&lt;=2,"OK",IF(D50&lt;$B$18,"Under","Over"))),"")</f>
        <v/>
      </c>
      <c r="G50" s="173" t="n"/>
    </row>
    <row r="53">
      <c r="A53" s="163" t="inlineStr">
        <is>
          <t>TOJI NOTES</t>
        </is>
      </c>
    </row>
    <row r="54">
      <c r="A54" t="inlineStr">
        <is>
          <t>• Gentei kyusui: For ≤60% polish, soak in 10kg batches with stopwatch</t>
        </is>
      </c>
    </row>
    <row r="55">
      <c r="A55" t="inlineStr">
        <is>
          <t>• Visual test: Place grains on dark plate, watch for opacity change</t>
        </is>
      </c>
    </row>
    <row r="56">
      <c r="A56" t="inlineStr">
        <is>
          <t>• Cold water (8-12°C) provides wider timing window for high polish</t>
        </is>
      </c>
    </row>
    <row r="57">
      <c r="A57" t="inlineStr">
        <is>
          <t>• Over-soaked rice = sticky, poor koji penetration</t>
        </is>
      </c>
    </row>
    <row r="58">
      <c r="A58" t="inlineStr">
        <is>
          <t>• Under-soaked rice = hard center, incomplete steaming</t>
        </is>
      </c>
    </row>
    <row r="59">
      <c r="A59" t="inlineStr">
        <is>
          <t>• Karashi rest allows water to diffuse from surface to center</t>
        </is>
      </c>
    </row>
    <row r="60">
      <c r="A60" t="inlineStr">
        <is>
          <t>• CRACKING RISK: Keep water temp within 5°C of rice storage temp. Highly polished rice is fragile!</t>
        </is>
      </c>
    </row>
  </sheetData>
  <mergeCells count="16">
    <mergeCell ref="A14:G14"/>
    <mergeCell ref="A60:G60"/>
    <mergeCell ref="A58:G58"/>
    <mergeCell ref="A56:G56"/>
    <mergeCell ref="A31:G31"/>
    <mergeCell ref="A3:G3"/>
    <mergeCell ref="A21:G21"/>
    <mergeCell ref="A53:G53"/>
    <mergeCell ref="A55:G55"/>
    <mergeCell ref="A30:G30"/>
    <mergeCell ref="A54:G54"/>
    <mergeCell ref="A29:G29"/>
    <mergeCell ref="A59:G59"/>
    <mergeCell ref="A57:G57"/>
    <mergeCell ref="A41:G41"/>
    <mergeCell ref="A28:G28"/>
  </mergeCells>
  <dataValidations count="1">
    <dataValidation sqref="B10" showDropDown="0" showInputMessage="0" showErrorMessage="0" allowBlank="1" type="list">
      <formula1>"Select,Lot A,Lot B,Lot C,Lot D"</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30"/>
  <sheetViews>
    <sheetView zoomScale="120" zoomScaleNormal="120" workbookViewId="0">
      <selection activeCell="A1" sqref="A1"/>
    </sheetView>
  </sheetViews>
  <sheetFormatPr baseColWidth="10" defaultColWidth="8.6640625" defaultRowHeight="15"/>
  <cols>
    <col width="32" customWidth="1" min="1" max="1"/>
    <col width="14" customWidth="1" min="2" max="2"/>
    <col width="12" customWidth="1" min="3" max="3"/>
    <col width="50" customWidth="1" min="4" max="4"/>
  </cols>
  <sheetData>
    <row r="1" ht="18" customHeight="1">
      <c r="A1" s="218" t="inlineStr">
        <is>
          <t>Yeast Calculator</t>
        </is>
      </c>
      <c r="B1" s="38" t="n"/>
      <c r="C1" s="38" t="n"/>
      <c r="D1" s="38" t="n"/>
    </row>
    <row r="2" ht="18" customHeight="1">
      <c r="A2" s="38" t="n"/>
      <c r="B2" s="38" t="n"/>
      <c r="C2" s="38" t="n"/>
      <c r="D2" s="38" t="n"/>
    </row>
    <row r="3" ht="21.75" customHeight="1">
      <c r="A3" s="230" t="inlineStr">
        <is>
          <t>INPUTS</t>
        </is>
      </c>
      <c r="B3" s="231" t="inlineStr">
        <is>
          <t>Value</t>
        </is>
      </c>
      <c r="C3" s="230" t="inlineStr">
        <is>
          <t>Units</t>
        </is>
      </c>
      <c r="D3" s="230" t="inlineStr">
        <is>
          <t>Notes</t>
        </is>
      </c>
    </row>
    <row r="4" ht="18" customHeight="1">
      <c r="A4" s="232" t="inlineStr">
        <is>
          <t>Target volume for pitching (L)</t>
        </is>
      </c>
      <c r="B4" s="233">
        <f>IF(Recipe!B56="",0,Recipe!B56)</f>
        <v/>
      </c>
      <c r="C4" s="234" t="inlineStr">
        <is>
          <t>L</t>
        </is>
      </c>
      <c r="D4" s="234" t="inlineStr">
        <is>
          <t>Default: theoretical moromi volume from Recipe; override if needed.</t>
        </is>
      </c>
    </row>
    <row r="5" ht="18" customHeight="1">
      <c r="A5" s="232" t="inlineStr">
        <is>
          <t>Pitch rate</t>
        </is>
      </c>
      <c r="B5" s="235">
        <f>_Constants!B10</f>
        <v/>
      </c>
      <c r="C5" s="236" t="inlineStr">
        <is>
          <t>M cells/mL</t>
        </is>
      </c>
      <c r="D5" s="236" t="inlineStr">
        <is>
          <t>Million cells per mL; typical range 5–15.</t>
        </is>
      </c>
    </row>
    <row r="6" ht="18" customHeight="1">
      <c r="A6" s="232" t="inlineStr">
        <is>
          <t>Dry yeast cells per g</t>
        </is>
      </c>
      <c r="B6" s="233">
        <f>_Constants!B11</f>
        <v/>
      </c>
      <c r="C6" s="234" t="inlineStr">
        <is>
          <t>cells/g</t>
        </is>
      </c>
      <c r="D6" s="234" t="inlineStr">
        <is>
          <t>Check spec sheet for your yeast.</t>
        </is>
      </c>
    </row>
    <row r="7" ht="18" customHeight="1">
      <c r="A7" s="232" t="inlineStr">
        <is>
          <t>Liquid yeast cells per mL</t>
        </is>
      </c>
      <c r="B7" s="235">
        <f>_Constants!B12</f>
        <v/>
      </c>
      <c r="C7" s="236" t="inlineStr">
        <is>
          <t>cells/mL</t>
        </is>
      </c>
      <c r="D7" s="236" t="inlineStr">
        <is>
          <t>Assumed for liquid culture or pouch.</t>
        </is>
      </c>
    </row>
    <row r="8" ht="18" customHeight="1">
      <c r="A8" s="232" t="inlineStr">
        <is>
          <t>Liquid yeast pouch volume</t>
        </is>
      </c>
      <c r="B8" s="233">
        <f>_Constants!B13</f>
        <v/>
      </c>
      <c r="C8" s="234" t="inlineStr">
        <is>
          <t>mL</t>
        </is>
      </c>
      <c r="D8" s="234" t="inlineStr">
        <is>
          <t>Volume of one pouch or pack.</t>
        </is>
      </c>
    </row>
    <row r="9" ht="18" customHeight="1">
      <c r="A9" s="146" t="n"/>
      <c r="B9" s="147" t="n"/>
      <c r="C9" s="38" t="n"/>
      <c r="D9" s="38" t="n"/>
    </row>
    <row r="10" ht="18" customHeight="1">
      <c r="A10" s="237" t="inlineStr">
        <is>
          <t>CALCULATED OUTPUTS</t>
        </is>
      </c>
      <c r="B10" s="237" t="inlineStr"/>
      <c r="C10" s="183" t="inlineStr"/>
      <c r="D10" s="183" t="inlineStr"/>
    </row>
    <row r="11" ht="18" customHeight="1">
      <c r="A11" s="232" t="inlineStr">
        <is>
          <t>Total cells needed</t>
        </is>
      </c>
      <c r="B11" s="235">
        <f>IF(B4="","",B4*1000*B5*1000000)</f>
        <v/>
      </c>
      <c r="C11" s="236" t="inlineStr">
        <is>
          <t>cells</t>
        </is>
      </c>
      <c r="D11" s="236" t="inlineStr">
        <is>
          <t>Volume (L) × 1000 mL/L × pitch rate (M/mL) × 1E6.</t>
        </is>
      </c>
    </row>
    <row r="12" ht="18" customHeight="1">
      <c r="A12" s="232" t="inlineStr">
        <is>
          <t>Dry yeast needed</t>
        </is>
      </c>
      <c r="B12" s="233">
        <f>IF(B6&gt;0,IF(B11="","",B11/B6),"")</f>
        <v/>
      </c>
      <c r="C12" s="234" t="inlineStr">
        <is>
          <t>g</t>
        </is>
      </c>
      <c r="D12" s="234" t="inlineStr">
        <is>
          <t>Total cells ÷ cells per gram.</t>
        </is>
      </c>
    </row>
    <row r="13" ht="18" customHeight="1">
      <c r="A13" s="232" t="inlineStr">
        <is>
          <t>Liquid yeast volume</t>
        </is>
      </c>
      <c r="B13" s="235">
        <f>IF(B7&gt;0,IF(B11="","",B11/B7),"")</f>
        <v/>
      </c>
      <c r="C13" s="236" t="inlineStr">
        <is>
          <t>mL</t>
        </is>
      </c>
      <c r="D13" s="236" t="inlineStr">
        <is>
          <t>Total cells ÷ cells per mL.</t>
        </is>
      </c>
    </row>
    <row r="14" ht="18" customHeight="1">
      <c r="A14" s="232" t="inlineStr">
        <is>
          <t>Liquid yeast pouches</t>
        </is>
      </c>
      <c r="B14" s="233">
        <f>IF(AND(B8&gt;0,B13&lt;&gt;""),B13/B8,"")</f>
        <v/>
      </c>
      <c r="C14" s="234" t="inlineStr">
        <is>
          <t>pouches</t>
        </is>
      </c>
      <c r="D14" s="234" t="inlineStr">
        <is>
          <t>Liquid volume ÷ pouch volume; round as needed.</t>
        </is>
      </c>
    </row>
    <row r="16" ht="15" customHeight="1">
      <c r="A16" s="183" t="inlineStr">
        <is>
          <t>NITROGEN ADJUSTMENT</t>
        </is>
      </c>
      <c r="B16" s="183" t="n"/>
      <c r="C16" s="183" t="n"/>
      <c r="D16" s="183" t="n"/>
    </row>
    <row r="17" ht="15" customHeight="1">
      <c r="A17" s="238" t="inlineStr">
        <is>
          <t>Vigor factor</t>
        </is>
      </c>
      <c r="B17" s="178">
        <f>IF(_Allocations!B38="",1,_Allocations!B38)</f>
        <v/>
      </c>
    </row>
    <row r="18" ht="15" customHeight="1">
      <c r="A18" s="238" t="inlineStr">
        <is>
          <t>Adjusted pitch rate</t>
        </is>
      </c>
      <c r="B18" s="178">
        <f>IF(B5="","",ROUND(B5/B17,1))</f>
        <v/>
      </c>
    </row>
    <row r="19" ht="15" customHeight="1">
      <c r="A19" s="238" t="inlineStr">
        <is>
          <t>Adjusted cells needed</t>
        </is>
      </c>
      <c r="B19" s="178">
        <f>IF(B4="","",B4*1000*B18*1000000)</f>
        <v/>
      </c>
    </row>
    <row r="20" ht="15" customHeight="1">
      <c r="A20" s="238" t="inlineStr">
        <is>
          <t>Adjusted dry yeast (g)</t>
        </is>
      </c>
      <c r="B20" s="178">
        <f>IF(B6&gt;0,IF(B19="","",B19/B6),"")</f>
        <v/>
      </c>
    </row>
    <row r="21" ht="15" customHeight="1">
      <c r="A21" s="238" t="inlineStr">
        <is>
          <t>Adjustment reason</t>
        </is>
      </c>
      <c r="B21" s="178">
        <f>IF(B17="","",IF(B17&gt;1.1,"↓ Reduce pitch - nitrogen-rich environment",IF(B17&lt;0.9,"↑ Increase pitch - low nitrogen environment","Standard pitch OK")))</f>
        <v/>
      </c>
    </row>
    <row r="23" ht="15" customHeight="1">
      <c r="A23" s="183" t="inlineStr">
        <is>
          <t>NITROGEN GUIDANCE</t>
        </is>
      </c>
      <c r="B23" s="183" t="n"/>
      <c r="C23" s="183" t="n"/>
      <c r="D23" s="183" t="n"/>
    </row>
    <row r="24" ht="15" customHeight="1">
      <c r="A24" s="238" t="inlineStr">
        <is>
          <t>Rice seimaibuai</t>
        </is>
      </c>
      <c r="B24" s="178">
        <f>IF(_Inputs!B24="","(Set in Recipe)",_Inputs!B24&amp;"%")</f>
        <v/>
      </c>
    </row>
    <row r="25" ht="15" customHeight="1">
      <c r="A25" s="238" t="inlineStr">
        <is>
          <t>Amino tendency</t>
        </is>
      </c>
      <c r="B25" s="178">
        <f>_Allocations!B35</f>
        <v/>
      </c>
    </row>
    <row r="26" ht="15" customHeight="1">
      <c r="A26" s="238" t="inlineStr">
        <is>
          <t>Expected fermentation</t>
        </is>
      </c>
      <c r="B26" s="178">
        <f>_Allocations!B39</f>
        <v/>
      </c>
    </row>
    <row r="28" ht="15" customHeight="1">
      <c r="A28" s="238" t="inlineStr">
        <is>
          <t>Note: Low-polish sake (90%+) paradoxically produces</t>
        </is>
      </c>
      <c r="B28" s="178" t="n"/>
    </row>
    <row r="29" ht="15" customHeight="1">
      <c r="A29" s="238" t="inlineStr">
        <is>
          <t>LOWER amino acidity because yeast uptake is 1.5x higher.</t>
        </is>
      </c>
      <c r="B29" s="178" t="n"/>
    </row>
    <row r="30" ht="15" customHeight="1">
      <c r="A30" t="inlineStr">
        <is>
          <t>Peak amino release occurs around 70-75% seimaibuai.</t>
        </is>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113"/>
  <sheetViews>
    <sheetView zoomScale="120" zoomScaleNormal="120" workbookViewId="0">
      <selection activeCell="A1" sqref="A1"/>
    </sheetView>
  </sheetViews>
  <sheetFormatPr baseColWidth="10" defaultColWidth="8.6640625" defaultRowHeight="15"/>
  <cols>
    <col width="24" customWidth="1" min="1" max="1"/>
    <col width="14" customWidth="1" min="2" max="2"/>
    <col width="10" customWidth="1" min="3" max="3"/>
    <col width="14" customWidth="1" min="4" max="5"/>
    <col width="12" customWidth="1" min="6" max="6"/>
    <col width="30" customWidth="1" min="7" max="7"/>
  </cols>
  <sheetData>
    <row r="1" ht="15" customHeight="1">
      <c r="A1" s="218" t="inlineStr">
        <is>
          <t>Pasteurization Calculator</t>
        </is>
      </c>
    </row>
    <row r="3" ht="15" customHeight="1">
      <c r="A3" s="183" t="inlineStr">
        <is>
          <t>SETTINGS</t>
        </is>
      </c>
      <c r="B3" s="183" t="n">
        <v>60</v>
      </c>
      <c r="C3" s="183" t="n"/>
      <c r="D3" s="183" t="n"/>
    </row>
    <row r="4" ht="15" customHeight="1">
      <c r="A4" s="238" t="inlineStr">
        <is>
          <t>z-value (°C)</t>
        </is>
      </c>
      <c r="B4" s="177" t="n">
        <v>60</v>
      </c>
    </row>
    <row r="5" ht="15" customHeight="1">
      <c r="A5" s="238" t="inlineStr">
        <is>
          <t>Target PU</t>
        </is>
      </c>
      <c r="B5" s="177" t="n">
        <v>30</v>
      </c>
    </row>
    <row r="6" ht="15" customHeight="1">
      <c r="A6" s="238" t="inlineStr">
        <is>
          <t>Logging interval (min)</t>
        </is>
      </c>
      <c r="B6" s="177" t="n">
        <v>5</v>
      </c>
    </row>
    <row r="7">
      <c r="A7" s="238" t="n"/>
    </row>
    <row r="8" ht="15" customHeight="1">
      <c r="A8" s="183" t="inlineStr">
        <is>
          <t>ENZYME PARAMETERS</t>
        </is>
      </c>
      <c r="B8" s="183" t="n"/>
      <c r="C8" s="183" t="n"/>
      <c r="D8" s="183" t="n"/>
    </row>
    <row r="9" ht="15" customHeight="1">
      <c r="A9" s="238" t="inlineStr">
        <is>
          <t>GA half-life at 65°C (min)</t>
        </is>
      </c>
      <c r="B9" s="177" t="n">
        <v>30</v>
      </c>
    </row>
    <row r="10" ht="15" customHeight="1">
      <c r="A10" s="238" t="inlineStr">
        <is>
          <t>GA target denaturation (%)</t>
        </is>
      </c>
      <c r="B10" s="177" t="n">
        <v>95</v>
      </c>
    </row>
    <row r="12" ht="15" customHeight="1">
      <c r="A12" s="183" t="inlineStr">
        <is>
          <t>TIME-TEMPERATURE LOG</t>
        </is>
      </c>
      <c r="B12" s="183" t="n"/>
      <c r="C12" s="183" t="n"/>
      <c r="D12" s="183" t="n"/>
    </row>
    <row r="13" ht="15" customHeight="1">
      <c r="A13" s="239" t="inlineStr">
        <is>
          <t>Reading</t>
        </is>
      </c>
      <c r="B13" s="239" t="inlineStr">
        <is>
          <t>Time (min)</t>
        </is>
      </c>
      <c r="C13" s="239" t="inlineStr">
        <is>
          <t>Temp (°C)</t>
        </is>
      </c>
      <c r="D13" s="239" t="inlineStr">
        <is>
          <t>Delta PU</t>
        </is>
      </c>
      <c r="E13" s="124" t="inlineStr">
        <is>
          <t>Cumulative PU</t>
        </is>
      </c>
      <c r="F13" s="124" t="inlineStr">
        <is>
          <t>Status</t>
        </is>
      </c>
      <c r="G13" s="124" t="inlineStr">
        <is>
          <t>GA remaining (%)</t>
        </is>
      </c>
    </row>
    <row r="14" ht="15" customHeight="1">
      <c r="A14" s="125" t="n">
        <v>1</v>
      </c>
      <c r="B14" s="177" t="n">
        <v>0</v>
      </c>
      <c r="C14" s="177" t="n"/>
      <c r="D14" s="39">
        <f>IF(C14="","",($B$6/2)*POWER(10,(C14-$B$3)/$B$4))</f>
        <v/>
      </c>
      <c r="E14" s="39">
        <f>IF(D14="","",D14)</f>
        <v/>
      </c>
      <c r="F14" s="34">
        <f>IF(E14="","",IF(E14&gt;=$B$5,"SAFE","HOLD"))</f>
        <v/>
      </c>
      <c r="G14" s="98">
        <f>IF(C14="","",100*EXP(-LN(2)/$B$9*(B14+$B$6/2)*POWER(10,(C14-65)/$B$4)))</f>
        <v/>
      </c>
    </row>
    <row r="15" ht="15" customHeight="1">
      <c r="A15" s="125" t="n">
        <v>2</v>
      </c>
      <c r="B15" s="177">
        <f>IF(C15="","",B14+$B$6)</f>
        <v/>
      </c>
      <c r="C15" s="177" t="n"/>
      <c r="D15" s="39">
        <f>IF(OR(C15="",C14=""),"",$B$6*POWER(10,((C15+C14)/2-$B$3)/$B$4))</f>
        <v/>
      </c>
      <c r="E15" s="39">
        <f>IF(D15="","",E14+D15)</f>
        <v/>
      </c>
      <c r="F15" s="34">
        <f>IF(E15="","",IF(E15&gt;=$B$5,"SAFE","HOLD"))</f>
        <v/>
      </c>
      <c r="G15" s="98">
        <f>IF(OR(C15="",G14=""),"",G14*EXP(-LN(2)/$B$9*$B$6*POWER(10,((C15+C14)/2-65)/$B$4)))</f>
        <v/>
      </c>
    </row>
    <row r="16" ht="15" customHeight="1">
      <c r="A16" s="125" t="n">
        <v>3</v>
      </c>
      <c r="B16" s="177">
        <f>IF(C16="","",B15+$B$6)</f>
        <v/>
      </c>
      <c r="C16" s="177" t="n"/>
      <c r="D16" s="39">
        <f>IF(OR(C16="",C15=""),"",$B$6*POWER(10,((C16+C15)/2-$B$3)/$B$4))</f>
        <v/>
      </c>
      <c r="E16" s="39">
        <f>IF(D16="","",E15+D16)</f>
        <v/>
      </c>
      <c r="F16" s="34">
        <f>IF(E16="","",IF(E16&gt;=$B$5,"SAFE","HOLD"))</f>
        <v/>
      </c>
      <c r="G16" s="98">
        <f>IF(OR(C16="",G15=""),"",G15*EXP(-LN(2)/$B$9*$B$6*POWER(10,((C16+C15)/2-65)/$B$4)))</f>
        <v/>
      </c>
    </row>
    <row r="17" ht="15" customHeight="1">
      <c r="A17" s="125" t="n">
        <v>4</v>
      </c>
      <c r="B17" s="177">
        <f>IF(C17="","",B16+$B$6)</f>
        <v/>
      </c>
      <c r="C17" s="177" t="n"/>
      <c r="D17" s="39">
        <f>IF(OR(C17="",C16=""),"",$B$6*POWER(10,((C17+C16)/2-$B$3)/$B$4))</f>
        <v/>
      </c>
      <c r="E17" s="39">
        <f>IF(D17="","",E16+D17)</f>
        <v/>
      </c>
      <c r="F17" s="34">
        <f>IF(E17="","",IF(E17&gt;=$B$5,"SAFE","HOLD"))</f>
        <v/>
      </c>
      <c r="G17" s="98">
        <f>IF(OR(C17="",G16=""),"",G16*EXP(-LN(2)/$B$9*$B$6*POWER(10,((C17+C16)/2-65)/$B$4)))</f>
        <v/>
      </c>
    </row>
    <row r="18" ht="15" customHeight="1">
      <c r="A18" s="125" t="n">
        <v>5</v>
      </c>
      <c r="B18" s="177">
        <f>IF(C18="","",B17+$B$6)</f>
        <v/>
      </c>
      <c r="C18" s="177" t="n"/>
      <c r="D18" s="39">
        <f>IF(OR(C18="",C17=""),"",$B$6*POWER(10,((C18+C17)/2-$B$3)/$B$4))</f>
        <v/>
      </c>
      <c r="E18" s="39">
        <f>IF(D18="","",E17+D18)</f>
        <v/>
      </c>
      <c r="F18" s="34">
        <f>IF(E18="","",IF(E18&gt;=$B$5,"SAFE","HOLD"))</f>
        <v/>
      </c>
      <c r="G18" s="98">
        <f>IF(OR(C18="",G17=""),"",G17*EXP(-LN(2)/$B$9*$B$6*POWER(10,((C18+C17)/2-65)/$B$4)))</f>
        <v/>
      </c>
    </row>
    <row r="19" ht="15" customHeight="1">
      <c r="A19" s="125" t="n">
        <v>6</v>
      </c>
      <c r="B19" s="177">
        <f>IF(C19="","",B18+$B$6)</f>
        <v/>
      </c>
      <c r="C19" s="177" t="n"/>
      <c r="D19" s="39">
        <f>IF(OR(C19="",C18=""),"",$B$6*POWER(10,((C19+C18)/2-$B$3)/$B$4))</f>
        <v/>
      </c>
      <c r="E19" s="39">
        <f>IF(D19="","",E18+D19)</f>
        <v/>
      </c>
      <c r="F19" s="34">
        <f>IF(E19="","",IF(E19&gt;=$B$5,"SAFE","HOLD"))</f>
        <v/>
      </c>
      <c r="G19" s="98">
        <f>IF(OR(C19="",G18=""),"",G18*EXP(-LN(2)/$B$9*$B$6*POWER(10,((C19+C18)/2-65)/$B$4)))</f>
        <v/>
      </c>
    </row>
    <row r="20" ht="15" customHeight="1">
      <c r="A20" s="125" t="n">
        <v>7</v>
      </c>
      <c r="B20" s="177">
        <f>IF(C20="","",B19+$B$6)</f>
        <v/>
      </c>
      <c r="C20" s="177" t="n"/>
      <c r="D20" s="39">
        <f>IF(OR(C20="",C19=""),"",$B$6*POWER(10,((C20+C19)/2-$B$3)/$B$4))</f>
        <v/>
      </c>
      <c r="E20" s="39">
        <f>IF(D20="","",E19+D20)</f>
        <v/>
      </c>
      <c r="F20" s="34">
        <f>IF(E20="","",IF(E20&gt;=$B$5,"SAFE","HOLD"))</f>
        <v/>
      </c>
      <c r="G20" s="98">
        <f>IF(OR(C20="",G19=""),"",G19*EXP(-LN(2)/$B$9*$B$6*POWER(10,((C20+C19)/2-65)/$B$4)))</f>
        <v/>
      </c>
    </row>
    <row r="21" ht="15" customHeight="1">
      <c r="A21" s="125" t="n">
        <v>8</v>
      </c>
      <c r="B21" s="177">
        <f>IF(C21="","",B20+$B$6)</f>
        <v/>
      </c>
      <c r="C21" s="177" t="n"/>
      <c r="D21" s="39">
        <f>IF(OR(C21="",C20=""),"",$B$6*POWER(10,((C21+C20)/2-$B$3)/$B$4))</f>
        <v/>
      </c>
      <c r="E21" s="39">
        <f>IF(D21="","",E20+D21)</f>
        <v/>
      </c>
      <c r="F21" s="34">
        <f>IF(E21="","",IF(E21&gt;=$B$5,"SAFE","HOLD"))</f>
        <v/>
      </c>
      <c r="G21" s="98">
        <f>IF(OR(C21="",G20=""),"",G20*EXP(-LN(2)/$B$9*$B$6*POWER(10,((C21+C20)/2-65)/$B$4)))</f>
        <v/>
      </c>
    </row>
    <row r="22" ht="15" customHeight="1">
      <c r="A22" s="125" t="n">
        <v>9</v>
      </c>
      <c r="B22" s="177">
        <f>IF(C22="","",B21+$B$6)</f>
        <v/>
      </c>
      <c r="C22" s="177" t="n"/>
      <c r="D22" s="39">
        <f>IF(OR(C22="",C21=""),"",$B$6*POWER(10,((C22+C21)/2-$B$3)/$B$4))</f>
        <v/>
      </c>
      <c r="E22" s="39">
        <f>IF(D22="","",E21+D22)</f>
        <v/>
      </c>
      <c r="F22" s="34">
        <f>IF(E22="","",IF(E22&gt;=$B$5,"SAFE","HOLD"))</f>
        <v/>
      </c>
      <c r="G22" s="98">
        <f>IF(OR(C22="",G21=""),"",G21*EXP(-LN(2)/$B$9*$B$6*POWER(10,((C22+C21)/2-65)/$B$4)))</f>
        <v/>
      </c>
    </row>
    <row r="23" ht="15" customHeight="1">
      <c r="A23" s="125" t="n">
        <v>10</v>
      </c>
      <c r="B23" s="177">
        <f>IF(C23="","",B22+$B$6)</f>
        <v/>
      </c>
      <c r="C23" s="177" t="n"/>
      <c r="D23" s="39">
        <f>IF(OR(C23="",C22=""),"",$B$6*POWER(10,((C23+C22)/2-$B$3)/$B$4))</f>
        <v/>
      </c>
      <c r="E23" s="39">
        <f>IF(D23="","",E22+D23)</f>
        <v/>
      </c>
      <c r="F23" s="34">
        <f>IF(E23="","",IF(E23&gt;=$B$5,"SAFE","HOLD"))</f>
        <v/>
      </c>
      <c r="G23" s="98">
        <f>IF(OR(C23="",G22=""),"",G22*EXP(-LN(2)/$B$9*$B$6*POWER(10,((C23+C22)/2-65)/$B$4)))</f>
        <v/>
      </c>
    </row>
    <row r="24" ht="15" customHeight="1">
      <c r="A24" s="125" t="n">
        <v>11</v>
      </c>
      <c r="B24" s="177">
        <f>IF(C24="","",B23+$B$6)</f>
        <v/>
      </c>
      <c r="C24" s="177" t="n"/>
      <c r="D24" s="39">
        <f>IF(OR(C24="",C23=""),"",$B$6*POWER(10,((C24+C23)/2-$B$3)/$B$4))</f>
        <v/>
      </c>
      <c r="E24" s="39">
        <f>IF(D24="","",E23+D24)</f>
        <v/>
      </c>
      <c r="F24" s="34">
        <f>IF(E24="","",IF(E24&gt;=$B$5,"SAFE","HOLD"))</f>
        <v/>
      </c>
      <c r="G24" s="98">
        <f>IF(OR(C24="",G23=""),"",G23*EXP(-LN(2)/$B$9*$B$6*POWER(10,((C24+C23)/2-65)/$B$4)))</f>
        <v/>
      </c>
    </row>
    <row r="25" ht="15" customHeight="1">
      <c r="A25" s="125" t="n">
        <v>12</v>
      </c>
      <c r="B25" s="177">
        <f>IF(C25="","",B24+$B$6)</f>
        <v/>
      </c>
      <c r="C25" s="177" t="n"/>
      <c r="D25" s="39">
        <f>IF(OR(C25="",C24=""),"",$B$6*POWER(10,((C25+C24)/2-$B$3)/$B$4))</f>
        <v/>
      </c>
      <c r="E25" s="39">
        <f>IF(D25="","",E24+D25)</f>
        <v/>
      </c>
      <c r="F25" s="34">
        <f>IF(E25="","",IF(E25&gt;=$B$5,"SAFE","HOLD"))</f>
        <v/>
      </c>
      <c r="G25" s="98">
        <f>IF(OR(C25="",G24=""),"",G24*EXP(-LN(2)/$B$9*$B$6*POWER(10,((C25+C24)/2-65)/$B$4)))</f>
        <v/>
      </c>
    </row>
    <row r="26" ht="15" customHeight="1">
      <c r="A26" s="125" t="n">
        <v>13</v>
      </c>
      <c r="B26" s="177">
        <f>IF(C26="","",B25+$B$6)</f>
        <v/>
      </c>
      <c r="C26" s="177" t="n"/>
      <c r="D26" s="39">
        <f>IF(OR(C26="",C25=""),"",$B$6*POWER(10,((C26+C25)/2-$B$3)/$B$4))</f>
        <v/>
      </c>
      <c r="E26" s="39">
        <f>IF(D26="","",E25+D26)</f>
        <v/>
      </c>
      <c r="F26" s="34">
        <f>IF(E26="","",IF(E26&gt;=$B$5,"SAFE","HOLD"))</f>
        <v/>
      </c>
      <c r="G26" s="98">
        <f>IF(OR(C26="",G25=""),"",G25*EXP(-LN(2)/$B$9*$B$6*POWER(10,((C26+C25)/2-65)/$B$4)))</f>
        <v/>
      </c>
    </row>
    <row r="27" ht="15" customHeight="1">
      <c r="A27" s="125" t="n">
        <v>14</v>
      </c>
      <c r="B27" s="177">
        <f>IF(C27="","",B26+$B$6)</f>
        <v/>
      </c>
      <c r="C27" s="177" t="n"/>
      <c r="D27" s="39">
        <f>IF(OR(C27="",C26=""),"",$B$6*POWER(10,((C27+C26)/2-$B$3)/$B$4))</f>
        <v/>
      </c>
      <c r="E27" s="39">
        <f>IF(D27="","",E26+D27)</f>
        <v/>
      </c>
      <c r="F27" s="34">
        <f>IF(E27="","",IF(E27&gt;=$B$5,"SAFE","HOLD"))</f>
        <v/>
      </c>
      <c r="G27" s="98">
        <f>IF(OR(C27="",G26=""),"",G26*EXP(-LN(2)/$B$9*$B$6*POWER(10,((C27+C26)/2-65)/$B$4)))</f>
        <v/>
      </c>
    </row>
    <row r="28" ht="15" customHeight="1">
      <c r="A28" s="125" t="n">
        <v>15</v>
      </c>
      <c r="B28" s="177">
        <f>IF(C28="","",B27+$B$6)</f>
        <v/>
      </c>
      <c r="C28" s="177" t="n"/>
      <c r="D28" s="39">
        <f>IF(OR(C28="",C27=""),"",$B$6*POWER(10,((C28+C27)/2-$B$3)/$B$4))</f>
        <v/>
      </c>
      <c r="E28" s="39">
        <f>IF(D28="","",E27+D28)</f>
        <v/>
      </c>
      <c r="F28" s="34">
        <f>IF(E28="","",IF(E28&gt;=$B$5,"SAFE","HOLD"))</f>
        <v/>
      </c>
      <c r="G28" s="98">
        <f>IF(OR(C28="",G27=""),"",G27*EXP(-LN(2)/$B$9*$B$6*POWER(10,((C28+C27)/2-65)/$B$4)))</f>
        <v/>
      </c>
    </row>
    <row r="29" ht="15" customHeight="1">
      <c r="A29" s="125" t="n">
        <v>16</v>
      </c>
      <c r="B29" s="177">
        <f>IF(C29="","",B28+$B$6)</f>
        <v/>
      </c>
      <c r="C29" s="177" t="n"/>
      <c r="D29" s="39">
        <f>IF(OR(C29="",C28=""),"",$B$6*POWER(10,((C29+C28)/2-$B$3)/$B$4))</f>
        <v/>
      </c>
      <c r="E29" s="39">
        <f>IF(D29="","",E28+D29)</f>
        <v/>
      </c>
      <c r="F29" s="34">
        <f>IF(E29="","",IF(E29&gt;=$B$5,"SAFE","HOLD"))</f>
        <v/>
      </c>
      <c r="G29" s="98">
        <f>IF(OR(C29="",G28=""),"",G28*EXP(-LN(2)/$B$9*$B$6*POWER(10,((C29+C28)/2-65)/$B$4)))</f>
        <v/>
      </c>
    </row>
    <row r="30" ht="15" customHeight="1">
      <c r="A30" s="125" t="n">
        <v>17</v>
      </c>
      <c r="B30" s="177">
        <f>IF(C30="","",B29+$B$6)</f>
        <v/>
      </c>
      <c r="C30" s="177" t="n"/>
      <c r="D30" s="39">
        <f>IF(OR(C30="",C29=""),"",$B$6*POWER(10,((C30+C29)/2-$B$3)/$B$4))</f>
        <v/>
      </c>
      <c r="E30" s="39">
        <f>IF(D30="","",E29+D30)</f>
        <v/>
      </c>
      <c r="F30" s="34">
        <f>IF(E30="","",IF(E30&gt;=$B$5,"SAFE","HOLD"))</f>
        <v/>
      </c>
      <c r="G30" s="98">
        <f>IF(OR(C30="",G29=""),"",G29*EXP(-LN(2)/$B$9*$B$6*POWER(10,((C30+C29)/2-65)/$B$4)))</f>
        <v/>
      </c>
    </row>
    <row r="31" ht="15" customHeight="1">
      <c r="A31" s="125" t="n">
        <v>18</v>
      </c>
      <c r="B31" s="177">
        <f>IF(C31="","",B30+$B$6)</f>
        <v/>
      </c>
      <c r="C31" s="177" t="n"/>
      <c r="D31" s="39">
        <f>IF(OR(C31="",C30=""),"",$B$6*POWER(10,((C31+C30)/2-$B$3)/$B$4))</f>
        <v/>
      </c>
      <c r="E31" s="39">
        <f>IF(D31="","",E30+D31)</f>
        <v/>
      </c>
      <c r="F31" s="34">
        <f>IF(E31="","",IF(E31&gt;=$B$5,"SAFE","HOLD"))</f>
        <v/>
      </c>
      <c r="G31" s="98">
        <f>IF(OR(C31="",G30=""),"",G30*EXP(-LN(2)/$B$9*$B$6*POWER(10,((C31+C30)/2-65)/$B$4)))</f>
        <v/>
      </c>
    </row>
    <row r="32" ht="15" customHeight="1">
      <c r="A32" s="125" t="n">
        <v>19</v>
      </c>
      <c r="B32" s="177">
        <f>IF(C32="","",B31+$B$6)</f>
        <v/>
      </c>
      <c r="C32" s="177" t="n"/>
      <c r="D32" s="39">
        <f>IF(OR(C32="",C31=""),"",$B$6*POWER(10,((C32+C31)/2-$B$3)/$B$4))</f>
        <v/>
      </c>
      <c r="E32" s="39">
        <f>IF(D32="","",E31+D32)</f>
        <v/>
      </c>
      <c r="F32" s="34">
        <f>IF(E32="","",IF(E32&gt;=$B$5,"SAFE","HOLD"))</f>
        <v/>
      </c>
      <c r="G32" s="98">
        <f>IF(OR(C32="",G31=""),"",G31*EXP(-LN(2)/$B$9*$B$6*POWER(10,((C32+C31)/2-65)/$B$4)))</f>
        <v/>
      </c>
    </row>
    <row r="33" ht="15" customHeight="1">
      <c r="A33" s="125" t="n">
        <v>20</v>
      </c>
      <c r="B33" s="177">
        <f>IF(C33="","",B32+$B$6)</f>
        <v/>
      </c>
      <c r="C33" s="177" t="n"/>
      <c r="D33" s="39">
        <f>IF(OR(C33="",C32=""),"",$B$6*POWER(10,((C33+C32)/2-$B$3)/$B$4))</f>
        <v/>
      </c>
      <c r="E33" s="39">
        <f>IF(D33="","",E32+D33)</f>
        <v/>
      </c>
      <c r="F33" s="34">
        <f>IF(E33="","",IF(E33&gt;=$B$5,"SAFE","HOLD"))</f>
        <v/>
      </c>
      <c r="G33" s="98">
        <f>IF(OR(C33="",G32=""),"",G32*EXP(-LN(2)/$B$9*$B$6*POWER(10,((C33+C32)/2-65)/$B$4)))</f>
        <v/>
      </c>
    </row>
    <row r="34" ht="15" customHeight="1">
      <c r="B34" s="177" t="n"/>
      <c r="C34" s="177" t="n"/>
    </row>
    <row r="35" ht="15" customHeight="1">
      <c r="B35" s="177" t="n"/>
      <c r="C35" s="177" t="n"/>
    </row>
    <row r="36" ht="15" customHeight="1">
      <c r="A36" s="107" t="inlineStr">
        <is>
          <t>PASTEURIZATION STATUS</t>
        </is>
      </c>
      <c r="B36" s="177" t="n"/>
      <c r="C36" s="177" t="n"/>
    </row>
    <row r="37" ht="15" customHeight="1">
      <c r="A37" t="inlineStr">
        <is>
          <t>Total PU achieved</t>
        </is>
      </c>
      <c r="B37" s="219">
        <f>IF(COUNTA(C14:C33)=0,"",MAX(E14:E33))</f>
        <v/>
      </c>
      <c r="C37" s="177" t="n"/>
    </row>
    <row r="38" ht="15" customHeight="1">
      <c r="A38" t="inlineStr">
        <is>
          <t>Target PU</t>
        </is>
      </c>
      <c r="B38" s="177">
        <f>$B$5</f>
        <v/>
      </c>
      <c r="C38" s="177" t="n"/>
    </row>
    <row r="39" ht="15" customHeight="1">
      <c r="A39" t="inlineStr">
        <is>
          <t>Status</t>
        </is>
      </c>
      <c r="B39" s="177">
        <f>IF(B37="","NO DATA",IF(B37&gt;=B38,"✓ SAFE","⚠ HOLD"))</f>
        <v/>
      </c>
      <c r="C39" s="177" t="n"/>
    </row>
    <row r="40" ht="15" customHeight="1">
      <c r="B40" s="177" t="n"/>
      <c r="C40" s="177" t="n"/>
    </row>
    <row r="41" ht="15" customHeight="1">
      <c r="A41" t="inlineStr">
        <is>
          <t>GA final remaining (%)</t>
        </is>
      </c>
      <c r="B41" s="221">
        <f>IF(COUNTA(G14:G33)=0,"",MIN(G14:G33))</f>
        <v/>
      </c>
      <c r="C41" s="177" t="n"/>
    </row>
    <row r="42" ht="15" customHeight="1">
      <c r="A42" t="inlineStr">
        <is>
          <t>GA denaturation (%)</t>
        </is>
      </c>
      <c r="B42" s="221">
        <f>IF(B41="","",100-B41)</f>
        <v/>
      </c>
      <c r="C42" s="177" t="n"/>
    </row>
    <row r="43" ht="15" customHeight="1">
      <c r="A43" t="inlineStr">
        <is>
          <t>Enzyme status</t>
        </is>
      </c>
      <c r="B43" s="177">
        <f>IF(B42="","NO DATA",IF(B42&gt;=$B$10,"✓ STABLE","⚠ ACTIVE"))</f>
        <v/>
      </c>
      <c r="C43" s="177" t="n"/>
    </row>
    <row r="44" ht="15" customHeight="1">
      <c r="B44" s="177" t="n"/>
      <c r="C44" s="177" t="n"/>
    </row>
    <row r="45" ht="15" customHeight="1">
      <c r="B45" s="177" t="n"/>
      <c r="C45" s="177" t="n"/>
    </row>
    <row r="46" ht="15" customHeight="1">
      <c r="A46" s="107" t="inlineStr">
        <is>
          <t>COOLING VALIDATION</t>
        </is>
      </c>
      <c r="B46" s="177" t="n"/>
      <c r="C46" s="177" t="n"/>
    </row>
    <row r="47" ht="15" customHeight="1">
      <c r="B47" s="177" t="n"/>
      <c r="C47" s="177" t="n"/>
    </row>
    <row r="48" ht="15" customHeight="1">
      <c r="A48" t="inlineStr">
        <is>
          <t>Reference liquid cooling (min)</t>
        </is>
      </c>
      <c r="B48" s="177" t="n"/>
      <c r="C48" s="177" t="n"/>
    </row>
    <row r="49" ht="15" customHeight="1">
      <c r="A49" t="inlineStr">
        <is>
          <t>Sake cooling time (min)</t>
        </is>
      </c>
      <c r="B49" s="177" t="n"/>
      <c r="C49" s="177" t="n"/>
    </row>
    <row r="50" ht="15" customHeight="1">
      <c r="A50" t="inlineStr">
        <is>
          <t>Cooling endpoint (°C)</t>
        </is>
      </c>
      <c r="B50" s="32" t="n">
        <v>30</v>
      </c>
      <c r="C50" s="32" t="n"/>
    </row>
    <row r="51" ht="15" customHeight="1">
      <c r="B51" s="32" t="n"/>
      <c r="C51" s="32" t="n"/>
    </row>
    <row r="52" ht="15" customHeight="1">
      <c r="A52" t="inlineStr">
        <is>
          <t>Penetration status</t>
        </is>
      </c>
      <c r="B52" s="32">
        <f>IF(OR(B48="",B49=""),"ENTER DATA",IF(B49&lt;=B48,"✓ PASS - equilibrated","✗ FAIL - incomplete penetration"))</f>
        <v/>
      </c>
      <c r="C52" s="32" t="n"/>
    </row>
    <row r="53" ht="15" customHeight="1">
      <c r="A53" t="inlineStr">
        <is>
          <t>Delta cooling (min)</t>
        </is>
      </c>
      <c r="B53" s="32">
        <f>IF(OR(B48="",B49=""),"",B49-B48)</f>
        <v/>
      </c>
      <c r="C53" s="32" t="n"/>
    </row>
    <row r="54" ht="15" customHeight="1">
      <c r="B54" s="32" t="n"/>
      <c r="C54" s="32" t="n"/>
    </row>
    <row r="55" ht="15" customHeight="1">
      <c r="B55" s="32" t="n"/>
      <c r="C55" s="32" t="n"/>
    </row>
    <row r="56" ht="15" customHeight="1">
      <c r="A56" s="172" t="inlineStr">
        <is>
          <t>JAPANESE HI-IRE STANDARDS</t>
        </is>
      </c>
      <c r="B56" s="32" t="n"/>
      <c r="C56" s="32" t="n"/>
    </row>
    <row r="57" ht="15" customHeight="1">
      <c r="A57" t="inlineStr">
        <is>
          <t>Temp: 60-65°C (NRIB, Hiroshima, Nada-ken)</t>
        </is>
      </c>
      <c r="B57" s="32" t="inlineStr">
        <is>
          <t>PU = ∫ 10^((T - Tref) / z) dt</t>
        </is>
      </c>
      <c r="C57" s="32" t="n"/>
    </row>
    <row r="58" ht="15" customHeight="1">
      <c r="A58" t="inlineStr">
        <is>
          <t>D-value: 1.0-1.5 min @ 60°C for sake (15-17% ABV)</t>
        </is>
      </c>
      <c r="B58" s="32" t="inlineStr">
        <is>
          <t>1 PU = 1 min at reference temp</t>
        </is>
      </c>
      <c r="C58" s="32" t="n"/>
    </row>
    <row r="59" ht="15" customHeight="1">
      <c r="A59" t="inlineStr">
        <is>
          <t>60°C × 10 min = 7-10 log reduction (commercial sterility)</t>
        </is>
      </c>
      <c r="B59" s="32" t="n"/>
      <c r="C59" s="32" t="n"/>
    </row>
    <row r="60" ht="15" customHeight="1">
      <c r="A60" t="inlineStr">
        <is>
          <t>Hiochi safety threshold</t>
        </is>
      </c>
      <c r="B60" s="32" t="inlineStr">
        <is>
          <t>60°C × 10 min = 10 PU</t>
        </is>
      </c>
      <c r="C60" s="32" t="n"/>
    </row>
    <row r="61" ht="15" customHeight="1">
      <c r="A61" t="inlineStr">
        <is>
          <t>Quality safe zone</t>
        </is>
      </c>
      <c r="B61" s="32" t="inlineStr">
        <is>
          <t>62-65°C, immediate cool</t>
        </is>
      </c>
      <c r="C61" s="32" t="n"/>
    </row>
    <row r="62" ht="15" customHeight="1">
      <c r="A62" t="inlineStr">
        <is>
          <t>Danger zone</t>
        </is>
      </c>
      <c r="B62" s="32" t="inlineStr">
        <is>
          <t>&gt;70°C or &gt;10 min at 65°C</t>
        </is>
      </c>
      <c r="C62" s="32" t="n"/>
    </row>
    <row r="63" ht="15" customHeight="1">
      <c r="B63" s="32" t="n"/>
      <c r="C63" s="32" t="n"/>
    </row>
    <row r="64" ht="15" customHeight="1">
      <c r="B64" s="32" t="n"/>
      <c r="C64" s="32" t="n"/>
    </row>
    <row r="65" ht="15" customHeight="1">
      <c r="B65" s="32" t="n"/>
      <c r="C65" s="32" t="n"/>
    </row>
    <row r="66" ht="15" customHeight="1">
      <c r="B66" s="32" t="n"/>
      <c r="C66" s="32" t="n"/>
    </row>
    <row r="67" ht="15" customHeight="1">
      <c r="B67" s="32" t="n"/>
      <c r="C67" s="32" t="n"/>
    </row>
    <row r="68" ht="15" customHeight="1">
      <c r="B68" s="32" t="n"/>
      <c r="C68" s="32" t="n"/>
    </row>
    <row r="69" ht="15" customHeight="1">
      <c r="B69" s="32" t="n"/>
      <c r="C69" s="32" t="n"/>
    </row>
    <row r="70" ht="15" customHeight="1">
      <c r="B70" s="32" t="n"/>
      <c r="C70" s="32" t="n"/>
    </row>
    <row r="71" ht="15" customHeight="1">
      <c r="B71" s="32" t="n"/>
      <c r="C71" s="32" t="n"/>
    </row>
    <row r="72" ht="15" customHeight="1">
      <c r="B72" s="32" t="n"/>
      <c r="C72" s="32" t="n"/>
    </row>
    <row r="73" ht="15" customHeight="1">
      <c r="B73" s="32" t="n"/>
      <c r="C73" s="32" t="n"/>
    </row>
    <row r="74" ht="15" customHeight="1">
      <c r="B74" s="32" t="n"/>
      <c r="C74" s="32" t="n"/>
    </row>
    <row r="75" ht="15" customHeight="1">
      <c r="B75" s="32" t="n"/>
      <c r="C75" s="32" t="n"/>
    </row>
    <row r="76" ht="15" customHeight="1">
      <c r="B76" s="32" t="n"/>
      <c r="C76" s="32" t="n"/>
    </row>
    <row r="77" ht="15" customHeight="1">
      <c r="B77" s="32" t="n"/>
      <c r="C77" s="32" t="n"/>
    </row>
    <row r="78" ht="15" customHeight="1">
      <c r="B78" s="32" t="n"/>
      <c r="C78" s="32" t="n"/>
    </row>
    <row r="79" ht="15" customHeight="1">
      <c r="B79" s="32" t="n"/>
      <c r="C79" s="32" t="n"/>
    </row>
    <row r="80" ht="15" customHeight="1">
      <c r="B80" s="32" t="n"/>
      <c r="C80" s="32" t="n"/>
    </row>
    <row r="81" ht="15" customHeight="1">
      <c r="B81" s="32" t="n"/>
      <c r="C81" s="32" t="n"/>
    </row>
    <row r="82" ht="15" customHeight="1">
      <c r="B82" s="32" t="n"/>
      <c r="C82" s="32" t="n"/>
    </row>
    <row r="83" ht="15" customHeight="1">
      <c r="B83" s="32" t="n"/>
      <c r="C83" s="32" t="n"/>
    </row>
    <row r="84" ht="15" customHeight="1">
      <c r="B84" s="32" t="n"/>
      <c r="C84" s="32" t="n"/>
    </row>
    <row r="85" ht="15" customHeight="1">
      <c r="B85" s="32" t="n"/>
      <c r="C85" s="32" t="n"/>
    </row>
    <row r="86" ht="15" customHeight="1">
      <c r="B86" s="32" t="n"/>
      <c r="C86" s="32" t="n"/>
    </row>
    <row r="87" ht="15" customHeight="1">
      <c r="B87" s="32" t="n"/>
      <c r="C87" s="32" t="n"/>
    </row>
    <row r="88" ht="15" customHeight="1">
      <c r="B88" s="32" t="n"/>
      <c r="C88" s="32" t="n"/>
    </row>
    <row r="89" ht="15" customHeight="1">
      <c r="B89" s="32" t="n"/>
      <c r="C89" s="32" t="n"/>
    </row>
    <row r="90" ht="15" customHeight="1">
      <c r="B90" s="32" t="n"/>
      <c r="C90" s="32" t="n"/>
    </row>
    <row r="91" ht="15" customHeight="1">
      <c r="B91" s="32" t="n"/>
      <c r="C91" s="32" t="n"/>
    </row>
    <row r="92" ht="15" customHeight="1">
      <c r="B92" s="32" t="n"/>
      <c r="C92" s="32" t="n"/>
    </row>
    <row r="93" ht="15" customHeight="1">
      <c r="B93" s="32" t="n"/>
      <c r="C93" s="32" t="n"/>
    </row>
    <row r="94" ht="15" customHeight="1">
      <c r="B94" s="32" t="n"/>
      <c r="C94" s="32" t="n"/>
    </row>
    <row r="95" ht="15" customHeight="1">
      <c r="B95" s="32" t="n"/>
      <c r="C95" s="32" t="n"/>
    </row>
    <row r="96" ht="15" customHeight="1">
      <c r="B96" s="32" t="n"/>
      <c r="C96" s="32" t="n"/>
    </row>
    <row r="97" ht="15" customHeight="1">
      <c r="B97" s="32" t="n"/>
      <c r="C97" s="32" t="n"/>
    </row>
    <row r="98" ht="15" customHeight="1">
      <c r="B98" s="32" t="n"/>
      <c r="C98" s="32" t="n"/>
    </row>
    <row r="99" ht="15" customHeight="1">
      <c r="B99" s="32" t="n"/>
      <c r="C99" s="32" t="n"/>
    </row>
    <row r="100" ht="15" customHeight="1">
      <c r="B100" s="32" t="n"/>
      <c r="C100" s="32" t="n"/>
    </row>
    <row r="101" ht="15" customHeight="1">
      <c r="B101" s="32" t="n"/>
      <c r="C101" s="32" t="n"/>
    </row>
    <row r="102" ht="15" customHeight="1">
      <c r="B102" s="32" t="n"/>
      <c r="C102" s="32" t="n"/>
    </row>
    <row r="103" ht="15" customHeight="1">
      <c r="B103" s="32" t="n"/>
      <c r="C103" s="32" t="n"/>
    </row>
    <row r="104" ht="15" customHeight="1">
      <c r="B104" s="32" t="n"/>
      <c r="C104" s="32" t="n"/>
    </row>
    <row r="105" ht="15" customHeight="1">
      <c r="B105" s="32" t="n"/>
      <c r="C105" s="32" t="n"/>
    </row>
    <row r="106" ht="15" customHeight="1">
      <c r="B106" s="32" t="n"/>
      <c r="C106" s="32" t="n"/>
    </row>
    <row r="107" ht="15" customHeight="1">
      <c r="B107" s="32" t="n"/>
      <c r="C107" s="32" t="n"/>
    </row>
    <row r="108" ht="15" customHeight="1">
      <c r="B108" s="32" t="n"/>
      <c r="C108" s="32" t="n"/>
    </row>
    <row r="109" ht="15" customHeight="1">
      <c r="B109" s="32" t="n"/>
      <c r="C109" s="32" t="n"/>
    </row>
    <row r="110" ht="15" customHeight="1">
      <c r="B110" s="32" t="n"/>
      <c r="C110" s="32" t="n"/>
    </row>
    <row r="111" ht="15" customHeight="1">
      <c r="B111" s="32" t="n"/>
      <c r="C111" s="32" t="n"/>
    </row>
    <row r="112" ht="15" customHeight="1">
      <c r="B112" s="32" t="n"/>
      <c r="C112" s="32" t="n"/>
    </row>
    <row r="113" ht="15" customHeight="1">
      <c r="B113" s="32" t="n"/>
      <c r="C113" s="32" t="n"/>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67"/>
  <sheetViews>
    <sheetView zoomScale="120" workbookViewId="0">
      <selection activeCell="A1" sqref="A1"/>
    </sheetView>
  </sheetViews>
  <sheetFormatPr baseColWidth="8" defaultRowHeight="15"/>
  <cols>
    <col width="28" customWidth="1" min="1" max="1"/>
    <col width="45" customWidth="1" min="2" max="2"/>
    <col width="45" customWidth="1" min="3" max="3"/>
  </cols>
  <sheetData>
    <row r="1">
      <c r="A1" s="222" t="inlineStr">
        <is>
          <t>TROUBLESHOOTING</t>
        </is>
      </c>
    </row>
    <row r="2">
      <c r="A2" s="240" t="inlineStr">
        <is>
          <t>Common problems, causes, and solutions for koji-based fermentation</t>
        </is>
      </c>
    </row>
    <row r="4">
      <c r="A4" s="201" t="inlineStr">
        <is>
          <t>Problem</t>
        </is>
      </c>
      <c r="B4" s="201" t="inlineStr">
        <is>
          <t>Likely Cause</t>
        </is>
      </c>
      <c r="C4" s="201" t="inlineStr">
        <is>
          <t>Solution</t>
        </is>
      </c>
    </row>
    <row r="5">
      <c r="A5" s="183" t="inlineStr">
        <is>
          <t>KOJI PROBLEMS</t>
        </is>
      </c>
    </row>
    <row r="7" ht="45" customHeight="1">
      <c r="A7" s="212" t="inlineStr">
        <is>
          <t>No visible growth after 24 hrs</t>
        </is>
      </c>
      <c r="B7" s="200" t="inlineStr">
        <is>
          <t>Temperature too low (&lt;28°C), dead spores, sterilized environment, rice too dry</t>
        </is>
      </c>
      <c r="C7" s="200" t="inlineStr">
        <is>
          <t>Ensure 30-32°C, use fresh tane-koji, don't over-sanitize muro, check rice moisture 38%</t>
        </is>
      </c>
    </row>
    <row r="8" ht="45" customHeight="1">
      <c r="A8" s="212" t="inlineStr">
        <is>
          <t>Nuri-haze (surface only, no penetration)</t>
        </is>
      </c>
      <c r="B8" s="200" t="inlineStr">
        <is>
          <t>Rice surface too wet, hard center from undersoaking. Fungi get moisture from surface, no drive to penetrate.</t>
        </is>
      </c>
      <c r="C8" s="200" t="inlineStr">
        <is>
          <t>Proper soaking (28-30% absorption), cool rice to reduce surface moisture before inoculation, target 38% total moisture</t>
        </is>
      </c>
    </row>
    <row r="9" ht="45" customHeight="1">
      <c r="A9" s="212" t="inlineStr">
        <is>
          <t>Baka-haze (deep growth, low enzyme)</t>
        </is>
      </c>
      <c r="B9" s="200" t="inlineStr">
        <is>
          <t>Excessive moisture triggers glucose effect. High glucose suppresses enzyme genes via feedback inhibition.</t>
        </is>
      </c>
      <c r="C9" s="200" t="inlineStr">
        <is>
          <t>Reduce moisture, don't over-soak, ensure proper steaming. Rice should not squash easily.</t>
        </is>
      </c>
    </row>
    <row r="10" ht="45" customHeight="1">
      <c r="A10" s="212" t="inlineStr">
        <is>
          <t>Haze-ochi (sparse/no growth)</t>
        </is>
      </c>
      <c r="B10" s="200" t="inlineStr">
        <is>
          <t>Too cool, too dry, contamination, poor spore quality, bad hygiene</t>
        </is>
      </c>
      <c r="C10" s="200" t="inlineStr">
        <is>
          <t>Check temps 30-35°C, humidity 80%+, use fresh spores, clean equipment</t>
        </is>
      </c>
    </row>
    <row r="11" ht="45" customHeight="1">
      <c r="A11" s="212" t="inlineStr">
        <is>
          <t>Green/black spores appearing</t>
        </is>
      </c>
      <c r="B11" s="200" t="inlineStr">
        <is>
          <t>Koji sporulating - went too long or too hot. Indicates over-maturity.</t>
        </is>
      </c>
      <c r="C11" s="200" t="inlineStr">
        <is>
          <t>Harvest earlier (before 48hrs for most methods), keep peak temp under 42°C</t>
        </is>
      </c>
    </row>
    <row r="12" ht="45" customHeight="1">
      <c r="A12" s="212" t="inlineStr">
        <is>
          <t>Ammonia smell</t>
        </is>
      </c>
      <c r="B12" s="200" t="inlineStr">
        <is>
          <t>Excessive protein breakdown from high protease activity, often from over-fermentation or contamination</t>
        </is>
      </c>
      <c r="C12" s="200" t="inlineStr">
        <is>
          <t>Shorter incubation, lower temps, ensure clean environment</t>
        </is>
      </c>
    </row>
    <row r="13" ht="45" customHeight="1">
      <c r="A13" s="212" t="inlineStr">
        <is>
          <t>Sour/vinegar smell in koji</t>
        </is>
      </c>
      <c r="B13" s="200" t="inlineStr">
        <is>
          <t>Bacterial contamination (Acetobacter or LAB)</t>
        </is>
      </c>
      <c r="C13" s="200" t="inlineStr">
        <is>
          <t>Improve sanitation, check water source, ensure proper temp (bacteria slower at higher koji temps)</t>
        </is>
      </c>
    </row>
    <row r="15">
      <c r="A15" s="183" t="inlineStr">
        <is>
          <t>MOTO (YEAST STARTER) PROBLEMS</t>
        </is>
      </c>
    </row>
    <row r="17" ht="45" customHeight="1">
      <c r="A17" s="212" t="inlineStr">
        <is>
          <t>No fermentation activity</t>
        </is>
      </c>
      <c r="B17" s="200" t="inlineStr">
        <is>
          <t>Dead yeast, too cold (&lt;10°C), too much lactic acid, nutrient deficiency (phosphate)</t>
        </is>
      </c>
      <c r="C17" s="200" t="inlineStr">
        <is>
          <t>Fresh yeast, warm to 15-20°C, check lactic acid dose (650-700mL/100L), add yeast nutrient</t>
        </is>
      </c>
    </row>
    <row r="18" ht="45" customHeight="1">
      <c r="A18" s="212" t="inlineStr">
        <is>
          <t>Stuck fermentation</t>
        </is>
      </c>
      <c r="B18" s="200" t="inlineStr">
        <is>
          <t>Temperature shock, nutrient deficiency (esp. phosphate &lt;250mg/L), excessive alcohol</t>
        </is>
      </c>
      <c r="C18" s="200" t="inlineStr">
        <is>
          <t>Maintain stable temps, add phosphate/nutrients, ensure moto doesn't exceed 15% ABV</t>
        </is>
      </c>
    </row>
    <row r="19" ht="45" customHeight="1">
      <c r="A19" s="212" t="inlineStr">
        <is>
          <t>Over-acidification (kimoto/yamahai)</t>
        </is>
      </c>
      <c r="B19" s="200" t="inlineStr">
        <is>
          <t>LAB dominated too long, temperature stayed in LAB-optimal range (20-30°C)</t>
        </is>
      </c>
      <c r="C19" s="200" t="inlineStr">
        <is>
          <t>Move to warmer temps (35°C+) to kill LAB and favor yeast, or restart</t>
        </is>
      </c>
    </row>
    <row r="20" ht="45" customHeight="1">
      <c r="A20" s="212" t="inlineStr">
        <is>
          <t>Contamination (film/off-odor)</t>
        </is>
      </c>
      <c r="B20" s="200" t="inlineStr">
        <is>
          <t>Wild yeast, bacteria from equipment or air, insufficient acidity</t>
        </is>
      </c>
      <c r="C20" s="200" t="inlineStr">
        <is>
          <t>Better sanitation, ensure pH drops to 4.0 or below, consider sokujo method</t>
        </is>
      </c>
    </row>
    <row r="21" ht="45" customHeight="1">
      <c r="A21" s="212" t="inlineStr">
        <is>
          <t>Slow start (kimoto/yamahai)</t>
        </is>
      </c>
      <c r="B21" s="200" t="inlineStr">
        <is>
          <t>Normal - traditional methods take 3-4 weeks. Not a problem unless off-odors develop.</t>
        </is>
      </c>
      <c r="C21" s="200" t="inlineStr">
        <is>
          <t>Patience. Monitor for contamination but don't rush. Natural LAB takes time.</t>
        </is>
      </c>
    </row>
    <row r="23">
      <c r="A23" s="183" t="inlineStr">
        <is>
          <t>MOROMI (MAIN FERMENTATION) PROBLEMS</t>
        </is>
      </c>
    </row>
    <row r="25" ht="45" customHeight="1">
      <c r="A25" s="212" t="inlineStr">
        <is>
          <t>Fermentation too fast/hot</t>
        </is>
      </c>
      <c r="B25" s="200" t="inlineStr">
        <is>
          <t>Temperature too high, too much koji, hard water accelerating yeast</t>
        </is>
      </c>
      <c r="C25" s="200" t="inlineStr">
        <is>
          <t>Cool to 10-15°C (ginjo) or 15-18°C (junmai). Reduce koji ratio. Consider softer water.</t>
        </is>
      </c>
    </row>
    <row r="26" ht="45" customHeight="1">
      <c r="A26" s="212" t="inlineStr">
        <is>
          <t>Fermentation too slow</t>
        </is>
      </c>
      <c r="B26" s="200" t="inlineStr">
        <is>
          <t>Too cold, weak yeast, soft water, insufficient nutrients</t>
        </is>
      </c>
      <c r="C26" s="200" t="inlineStr">
        <is>
          <t>Warm slightly, ensure healthy moto, add minerals to moto water, check koji quality</t>
        </is>
      </c>
    </row>
    <row r="27" ht="45" customHeight="1">
      <c r="A27" s="212" t="inlineStr">
        <is>
          <t>Stuck at low alcohol (12-14%)</t>
        </is>
      </c>
      <c r="B27" s="200" t="inlineStr">
        <is>
          <t>Weak yeast, nutrient deficiency, osmotic stress from high sugar</t>
        </is>
      </c>
      <c r="C27" s="200" t="inlineStr">
        <is>
          <t>Use alcohol-tolerant yeast (Kyokai #7, #9), ensure adequate nutrients, proper sandan-jikomi staging</t>
        </is>
      </c>
    </row>
    <row r="28" ht="45" customHeight="1">
      <c r="A28" s="212" t="inlineStr">
        <is>
          <t>Foaming overflow</t>
        </is>
      </c>
      <c r="B28" s="200" t="inlineStr">
        <is>
          <t>Vigorous fermentation, foam-positive yeast strain</t>
        </is>
      </c>
      <c r="C28" s="200" t="inlineStr">
        <is>
          <t>Use foam-negative yeast, larger vessel, add rice bran (nuka) to break foam, lower temperature</t>
        </is>
      </c>
    </row>
    <row r="29" ht="45" customHeight="1">
      <c r="A29" s="212" t="inlineStr">
        <is>
          <t>Off-flavors developing</t>
        </is>
      </c>
      <c r="B29" s="200" t="inlineStr">
        <is>
          <t>Contamination, autolysis (yeast death), oxidation, high ferment temp</t>
        </is>
      </c>
      <c r="C29" s="200" t="inlineStr">
        <is>
          <t>Check sanitation, don't over-extend ferment, minimize oxygen exposure, control temperature</t>
        </is>
      </c>
    </row>
    <row r="30" ht="45" customHeight="1">
      <c r="A30" s="212" t="inlineStr">
        <is>
          <t>Film on surface (hiochi)</t>
        </is>
      </c>
      <c r="B30" s="200" t="inlineStr">
        <is>
          <t>Hiochi bacteria - sake-spoiling LAB that survives alcohol</t>
        </is>
      </c>
      <c r="C30" s="200" t="inlineStr">
        <is>
          <t>Pasteurize immediately, improve sanitation for next batch, lower pH</t>
        </is>
      </c>
    </row>
    <row r="32">
      <c r="A32" s="183" t="inlineStr">
        <is>
          <t>WATER PROBLEMS</t>
        </is>
      </c>
    </row>
    <row r="34" ht="45" customHeight="1">
      <c r="A34" s="212" t="inlineStr">
        <is>
          <t>Red/brown discoloration</t>
        </is>
      </c>
      <c r="B34" s="200" t="inlineStr">
        <is>
          <t>Iron &gt;0.02 ppm binding with koji compounds to form colored complexes</t>
        </is>
      </c>
      <c r="C34" s="200" t="inlineStr">
        <is>
          <t>Filter water with activated carbon, use iron-free source, aerate then filter</t>
        </is>
      </c>
    </row>
    <row r="35" ht="45" customHeight="1">
      <c r="A35" s="212" t="inlineStr">
        <is>
          <t>Light-struck off-flavors</t>
        </is>
      </c>
      <c r="B35" s="200" t="inlineStr">
        <is>
          <t>Manganese &gt;0.02 ppm catalyzing photo-oxidation under UV/light exposure</t>
        </is>
      </c>
      <c r="C35" s="200" t="inlineStr">
        <is>
          <t>Remove Mn from water, store sake in dark, use brown/UV-blocking bottles</t>
        </is>
      </c>
    </row>
    <row r="36" ht="45" customHeight="1">
      <c r="A36" s="212" t="inlineStr">
        <is>
          <t>Harsh/mineral taste</t>
        </is>
      </c>
      <c r="B36" s="200" t="inlineStr">
        <is>
          <t>Excessive hardness, high sulfate, high chloride</t>
        </is>
      </c>
      <c r="C36" s="200" t="inlineStr">
        <is>
          <t>Dilute with soft water, use RO/distilled for warimizu, match water to style</t>
        </is>
      </c>
    </row>
    <row r="37" ht="45" customHeight="1">
      <c r="A37" s="212" t="inlineStr">
        <is>
          <t>Thin/weak fermentation</t>
        </is>
      </c>
      <c r="B37" s="200" t="inlineStr">
        <is>
          <t>Water too soft, lacking K/Mg/P for yeast health</t>
        </is>
      </c>
      <c r="C37" s="200" t="inlineStr">
        <is>
          <t>Add minerals to moto water: KCl, MgSO4, yeast nutrient. See Water Calc sheet.</t>
        </is>
      </c>
    </row>
    <row r="39">
      <c r="A39" s="183" t="inlineStr">
        <is>
          <t>FINISHED SAKE PROBLEMS</t>
        </is>
      </c>
    </row>
    <row r="41" ht="45" customHeight="1">
      <c r="A41" s="212" t="inlineStr">
        <is>
          <t>Too sweet (high nihonshudo negative)</t>
        </is>
      </c>
      <c r="B41" s="200" t="inlineStr">
        <is>
          <t>Incomplete fermentation, too much residual sugar, weak koji enzymes</t>
        </is>
      </c>
      <c r="C41" s="200" t="inlineStr">
        <is>
          <t>Extend fermentation, use stronger koji, higher ferment temp, more active yeast</t>
        </is>
      </c>
    </row>
    <row r="42" ht="45" customHeight="1">
      <c r="A42" s="212" t="inlineStr">
        <is>
          <t>Too dry/harsh</t>
        </is>
      </c>
      <c r="B42" s="200" t="inlineStr">
        <is>
          <t>Over-fermentation, high amino acidity, excessive alcohol</t>
        </is>
      </c>
      <c r="C42" s="200" t="inlineStr">
        <is>
          <t>Shorten ferment, use less protease-active koji, blend with sweeter sake</t>
        </is>
      </c>
    </row>
    <row r="43" ht="45" customHeight="1">
      <c r="A43" s="212" t="inlineStr">
        <is>
          <t>High amino acidity (heavy/rough)</t>
        </is>
      </c>
      <c r="B43" s="200" t="inlineStr">
        <is>
          <t>Excessive protein breakdown, low polish ratio with high yeast, wrong koji type</t>
        </is>
      </c>
      <c r="C43" s="200" t="inlineStr">
        <is>
          <t>Higher polish, tsuki-haze koji, cooler ferment to reduce amino production</t>
        </is>
      </c>
    </row>
    <row r="44" ht="45" customHeight="1">
      <c r="A44" s="212" t="inlineStr">
        <is>
          <t>Lacks aroma (no ginjo-ka)</t>
        </is>
      </c>
      <c r="B44" s="200" t="inlineStr">
        <is>
          <t>Ferment too warm (drives off esters), wrong yeast, sou-haze koji</t>
        </is>
      </c>
      <c r="C44" s="200" t="inlineStr">
        <is>
          <t>Lower ferment to 10-12°C, use aromatic yeast (#9, #1801), tsuki-haze koji, high polish</t>
        </is>
      </c>
    </row>
    <row r="45" ht="45" customHeight="1">
      <c r="A45" s="212" t="inlineStr">
        <is>
          <t>Sulfur/rotten egg smell</t>
        </is>
      </c>
      <c r="B45" s="200" t="inlineStr">
        <is>
          <t>Yeast stress producing H2S, or contamination</t>
        </is>
      </c>
      <c r="C45" s="200" t="inlineStr">
        <is>
          <t>Better yeast nutrition, avoid temperature swings, aerate briefly (racking)</t>
        </is>
      </c>
    </row>
    <row r="46" ht="45" customHeight="1">
      <c r="A46" s="212" t="inlineStr">
        <is>
          <t>Oxidized/sherry-like</t>
        </is>
      </c>
      <c r="B46" s="200" t="inlineStr">
        <is>
          <t>Oxygen exposure during storage, incomplete pasteurization</t>
        </is>
      </c>
      <c r="C46" s="200" t="inlineStr">
        <is>
          <t>Minimize headspace, proper pasteurization, store cold and dark</t>
        </is>
      </c>
    </row>
    <row r="47" ht="45" customHeight="1">
      <c r="A47" s="212" t="inlineStr">
        <is>
          <t>Hazy/cloudy (unwanted)</t>
        </is>
      </c>
      <c r="B47" s="200" t="inlineStr">
        <is>
          <t>Protein/starch haze, incomplete pressing, bacterial contamination</t>
        </is>
      </c>
      <c r="C47" s="200" t="inlineStr">
        <is>
          <t>Fine filtration, bentonite fining, pasteurize to precipitate proteins</t>
        </is>
      </c>
    </row>
    <row r="49">
      <c r="A49" s="183" t="inlineStr">
        <is>
          <t>OTHER KOJI FERMENTS</t>
        </is>
      </c>
    </row>
    <row r="51" ht="45" customHeight="1">
      <c r="A51" s="212" t="inlineStr">
        <is>
          <t>Miso too salty</t>
        </is>
      </c>
      <c r="B51" s="200" t="inlineStr">
        <is>
          <t>Salt ratio too high, insufficient fermentation time</t>
        </is>
      </c>
      <c r="C51" s="200" t="inlineStr">
        <is>
          <t>Use 10-12% salt (not 13%+), extend aging 6+ months for salt to mellow</t>
        </is>
      </c>
    </row>
    <row r="52" ht="45" customHeight="1">
      <c r="A52" s="212" t="inlineStr">
        <is>
          <t>Miso darkening too fast</t>
        </is>
      </c>
      <c r="B52" s="200" t="inlineStr">
        <is>
          <t>High temperature storage, high moisture, air exposure (Maillard reaction)</t>
        </is>
      </c>
      <c r="C52" s="200" t="inlineStr">
        <is>
          <t>Store cool, ensure proper tamari layer forms, minimize air contact</t>
        </is>
      </c>
    </row>
    <row r="53" ht="45" customHeight="1">
      <c r="A53" s="212" t="inlineStr">
        <is>
          <t>Shio koji not sweet</t>
        </is>
      </c>
      <c r="B53" s="200" t="inlineStr">
        <is>
          <t>Insufficient koji enzyme activity, too much salt inhibiting enzymes, too cold</t>
        </is>
      </c>
      <c r="C53" s="200" t="inlineStr">
        <is>
          <t>Use quality koji, keep salt 12-13%, ferment at 20-25°C, massage daily</t>
        </is>
      </c>
    </row>
    <row r="54" ht="45" customHeight="1">
      <c r="A54" s="212" t="inlineStr">
        <is>
          <t>Amazake too thin</t>
        </is>
      </c>
      <c r="B54" s="200" t="inlineStr">
        <is>
          <t>Koji weak, temperature dropped below 55°C (enzymes inactive), too much water</t>
        </is>
      </c>
      <c r="C54" s="200" t="inlineStr">
        <is>
          <t>Use fresh active koji, maintain 55-60°C strictly, use less water (60% not more)</t>
        </is>
      </c>
    </row>
    <row r="55" ht="45" customHeight="1">
      <c r="A55" s="212" t="inlineStr">
        <is>
          <t>Shoyu not developing umami</t>
        </is>
      </c>
      <c r="B55" s="200" t="inlineStr">
        <is>
          <t>Insufficient aging, wrong koji (need protease-rich), temperature too low</t>
        </is>
      </c>
      <c r="C55" s="200" t="inlineStr">
        <is>
          <t>Age 12-18 months minimum, use soy koji or long-incubated rice koji, summer heat helps</t>
        </is>
      </c>
    </row>
    <row r="56" ht="45" customHeight="1">
      <c r="A56" s="212" t="inlineStr">
        <is>
          <t>Vinegar not acidifying</t>
        </is>
      </c>
      <c r="B56" s="200" t="inlineStr">
        <is>
          <t>No acetobacter culture, alcohol too high (&gt;7%), insufficient oxygen</t>
        </is>
      </c>
      <c r="C56" s="200" t="inlineStr">
        <is>
          <t>Add mother/seed vinegar, dilute to 5-7% ABV, ensure aerobic surface exposure</t>
        </is>
      </c>
    </row>
    <row r="58">
      <c r="A58" s="183" t="inlineStr">
        <is>
          <t>WHEN TO DISCARD</t>
        </is>
      </c>
    </row>
    <row r="60">
      <c r="A60" s="248" t="inlineStr">
        <is>
          <t>⚠️ DISCARD IF:</t>
        </is>
      </c>
    </row>
    <row r="61">
      <c r="A61" s="202" t="inlineStr">
        <is>
          <t>• Black, pink, or orange mold (not green/white koji)</t>
        </is>
      </c>
    </row>
    <row r="62">
      <c r="A62" s="202" t="inlineStr">
        <is>
          <t>• Putrid, fecal, or strongly ammonia smell</t>
        </is>
      </c>
    </row>
    <row r="63">
      <c r="A63" s="202" t="inlineStr">
        <is>
          <t>• Slimy texture not from normal fermentation</t>
        </is>
      </c>
    </row>
    <row r="64">
      <c r="A64" s="202" t="inlineStr">
        <is>
          <t>• Visible insects or rodent contamination</t>
        </is>
      </c>
    </row>
    <row r="65">
      <c r="A65" s="202" t="inlineStr">
        <is>
          <t>• Unknown contamination you cannot identify</t>
        </is>
      </c>
    </row>
    <row r="67">
      <c r="A67" s="203" t="inlineStr">
        <is>
          <t>When in doubt, throw it out. No batch is worth a foodborne illness.</t>
        </is>
      </c>
    </row>
  </sheetData>
  <mergeCells count="13">
    <mergeCell ref="A49:C49"/>
    <mergeCell ref="A63:C63"/>
    <mergeCell ref="A5:C5"/>
    <mergeCell ref="A23:C23"/>
    <mergeCell ref="A32:C32"/>
    <mergeCell ref="A61:C61"/>
    <mergeCell ref="A58:C58"/>
    <mergeCell ref="A67:C67"/>
    <mergeCell ref="A62:C62"/>
    <mergeCell ref="A39:C39"/>
    <mergeCell ref="A15:C15"/>
    <mergeCell ref="A65:C65"/>
    <mergeCell ref="A64:C6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2"/>
  <sheetViews>
    <sheetView zoomScale="120" zoomScaleNormal="120" workbookViewId="0">
      <selection activeCell="A1" sqref="A1"/>
    </sheetView>
  </sheetViews>
  <sheetFormatPr baseColWidth="10" defaultColWidth="8.83203125" defaultRowHeight="15"/>
  <cols>
    <col width="32" customWidth="1" min="1" max="1"/>
    <col width="14" customWidth="1" min="2" max="5"/>
  </cols>
  <sheetData>
    <row r="1" ht="18" customHeight="1">
      <c r="A1" s="18" t="inlineStr">
        <is>
          <t>Totals</t>
        </is>
      </c>
      <c r="B1" s="38" t="n"/>
      <c r="C1" s="38" t="n"/>
      <c r="D1" s="38" t="n"/>
    </row>
    <row r="2" ht="18" customHeight="1">
      <c r="A2" s="24" t="inlineStr">
        <is>
          <t>Rice kg</t>
        </is>
      </c>
      <c r="B2" s="127">
        <f>IF(OR(_Inputs!B4="",_Inputs!B4=0),"",_Inputs!B4)</f>
        <v/>
      </c>
      <c r="C2" s="128" t="n"/>
      <c r="D2" s="128" t="n"/>
    </row>
    <row r="3" ht="18" customHeight="1">
      <c r="A3" s="24" t="inlineStr">
        <is>
          <t>Koji kg</t>
        </is>
      </c>
      <c r="B3" s="127">
        <f>IF(OR(B2="",B2=0,_Inputs!B5=""),"",B2*_Inputs!B5)</f>
        <v/>
      </c>
      <c r="C3" s="128" t="n"/>
      <c r="D3" s="128" t="n"/>
    </row>
    <row r="4" ht="18" customHeight="1">
      <c r="A4" s="24" t="inlineStr">
        <is>
          <t>Water L</t>
        </is>
      </c>
      <c r="B4" s="127">
        <f>IF(OR(B2="",B2=0),"",B2*IFERROR(VLOOKUP(_Inputs!B1,_Presets!$A$2:$C$100,3,FALSE()),1.3))</f>
        <v/>
      </c>
      <c r="C4" s="128" t="n"/>
      <c r="D4" s="128" t="n"/>
    </row>
    <row r="5" ht="18" customHeight="1">
      <c r="A5" s="24" t="inlineStr">
        <is>
          <t>Mash mass (kg actual)</t>
        </is>
      </c>
      <c r="B5" s="127">
        <f>IF(OR(B2="",B2=0),"",(B2-B3)*1.3 + B3*(1+_Constants!B16) + B4)</f>
        <v/>
      </c>
      <c r="C5" s="128" t="n"/>
      <c r="D5" s="128" t="n"/>
    </row>
    <row r="6" ht="18" customHeight="1">
      <c r="A6" s="24" t="inlineStr">
        <is>
          <t>Theoretical volume L</t>
        </is>
      </c>
      <c r="B6" s="127">
        <f>IF(OR(B5="",B5=0),"",B5/_Constants!B2)</f>
        <v/>
      </c>
      <c r="C6" s="128" t="n"/>
      <c r="D6" s="128" t="n"/>
    </row>
    <row r="7" ht="18" customHeight="1">
      <c r="A7" s="24" t="inlineStr">
        <is>
          <t>Genshu yield (L)</t>
        </is>
      </c>
      <c r="B7" s="127">
        <f>IF(OR(_Allocations!B2="",_Inputs!B33=""),"",_Allocations!B2*_Constants!B17*_Inputs!B33)</f>
        <v/>
      </c>
      <c r="C7" s="128" t="n"/>
      <c r="D7" s="128" t="n"/>
    </row>
    <row r="8" ht="18" customHeight="1">
      <c r="A8" s="24" t="inlineStr">
        <is>
          <t>Diluted yield (L) @15%</t>
        </is>
      </c>
      <c r="B8" s="127">
        <f>IF(OR(_Allocations!B7="",_Allocations!B7=0),"",_Allocations!B7*(_Constants!B18/15))</f>
        <v/>
      </c>
      <c r="C8" s="128" t="n"/>
      <c r="D8" s="128" t="n"/>
    </row>
    <row r="9" ht="18" customHeight="1">
      <c r="A9" s="24" t="inlineStr">
        <is>
          <t>Moromi (excl moto)</t>
        </is>
      </c>
      <c r="B9" s="127">
        <f>IF(OR($B$2="",B2=0,_Inputs!$B$7=""),"",$B$2*(1-_Inputs!$B$7))</f>
        <v/>
      </c>
      <c r="C9" s="129">
        <f>IF(OR(_Allocations!$B$3="",_Allocations!$B$3=0),"",_Allocations!$B$3-_Allocations!C11)</f>
        <v/>
      </c>
      <c r="D9" s="129">
        <f>IF(OR($B$4="",$B$4=0),"",_Allocations!$B$4-_Allocations!D11)</f>
        <v/>
      </c>
    </row>
    <row r="10" ht="18" customHeight="1">
      <c r="A10" s="130" t="inlineStr">
        <is>
          <t>Stage</t>
        </is>
      </c>
      <c r="B10" s="131" t="inlineStr">
        <is>
          <t>Rice kg</t>
        </is>
      </c>
      <c r="C10" s="113" t="inlineStr">
        <is>
          <t>Koji kg</t>
        </is>
      </c>
      <c r="D10" s="113" t="inlineStr">
        <is>
          <t>Water L</t>
        </is>
      </c>
    </row>
    <row r="11" ht="18" customHeight="1">
      <c r="A11" s="24" t="inlineStr">
        <is>
          <t>Moto</t>
        </is>
      </c>
      <c r="B11" s="127">
        <f>IF(OR($B$2="",B2=0,_Inputs!$B$7=""),"",$B$2*_Inputs!$B$7)</f>
        <v/>
      </c>
      <c r="C11" s="129">
        <f>IF(OR(_Allocations!B11="",_Allocations!B11=0),"",_Allocations!B11*_Inputs!$B$17)</f>
        <v/>
      </c>
      <c r="D11" s="129">
        <f>IF(OR($B$2="",B2=0),"",$B$2*_Inputs!$B$7*_Inputs!$B$18)</f>
        <v/>
      </c>
    </row>
    <row r="12" ht="18" customHeight="1">
      <c r="A12" s="24" t="inlineStr">
        <is>
          <t>Soe</t>
        </is>
      </c>
      <c r="B12" s="127">
        <f>IF(OR($B$9="",B9=0,_Inputs!B8=""),"",$B$9*_Inputs!B8)</f>
        <v/>
      </c>
      <c r="C12" s="129">
        <f>IF(OR(_Allocations!$C$9="",_Allocations!C9=0),"",_Allocations!$C$9*_Inputs!$B$12)</f>
        <v/>
      </c>
      <c r="D12" s="129">
        <f>IF(OR($B$9="",B9=0),"",$B$9*_Inputs!$B$8*_Inputs!$B$20)</f>
        <v/>
      </c>
    </row>
    <row r="13" ht="18" customHeight="1">
      <c r="A13" s="24" t="inlineStr">
        <is>
          <t>Naka</t>
        </is>
      </c>
      <c r="B13" s="127">
        <f>IF(OR($B$9="",B9=0,_Inputs!B9=""),"",$B$9*_Inputs!B9)</f>
        <v/>
      </c>
      <c r="C13" s="129">
        <f>IF(OR(_Allocations!$C$9="",_Allocations!C9=0),"",_Allocations!$C$9*_Inputs!$B$13)</f>
        <v/>
      </c>
      <c r="D13" s="129">
        <f>IF(OR($B$9="",B9=0),"",$B$9*_Inputs!$B$9*_Inputs!$B$21)</f>
        <v/>
      </c>
    </row>
    <row r="14" ht="18" customHeight="1">
      <c r="A14" s="24" t="inlineStr">
        <is>
          <t>Tome</t>
        </is>
      </c>
      <c r="B14" s="127">
        <f>IF(OR($B$9="",B9=0,_Inputs!B10=""),"",$B$9*_Inputs!B10)</f>
        <v/>
      </c>
      <c r="C14" s="129">
        <f>IF(OR(_Allocations!$C$9="",_Allocations!C9=0),"",_Allocations!$C$9*_Inputs!$B$14)</f>
        <v/>
      </c>
      <c r="D14" s="129">
        <f>IF(OR($B$9="",B9=0),"",$B$9*_Inputs!$B$10*_Inputs!$B$16)</f>
        <v/>
      </c>
    </row>
    <row r="15" ht="18" customHeight="1">
      <c r="A15" s="24" t="inlineStr">
        <is>
          <t>Yon</t>
        </is>
      </c>
      <c r="B15" s="127">
        <f>IF(OR($B$9="",B9=0,_Inputs!B11=""),"",$B$9*_Inputs!B11)</f>
        <v/>
      </c>
      <c r="C15" s="129">
        <f>IF(OR(_Allocations!$C$9="",_Allocations!C9=0),"",_Allocations!$C$9*_Inputs!$B$15)</f>
        <v/>
      </c>
      <c r="D15" s="129">
        <f>IF(OR($B$9="",B9=0),"",$B$9*_Inputs!$B$11*_Inputs!$B$22)</f>
        <v/>
      </c>
    </row>
    <row r="16" ht="18" customHeight="1">
      <c r="A16" s="38" t="n"/>
      <c r="B16" s="128" t="n"/>
      <c r="C16" s="128" t="n"/>
      <c r="D16" s="128" t="n"/>
    </row>
    <row r="17" ht="18" customHeight="1">
      <c r="A17" s="24" t="inlineStr">
        <is>
          <t>Koji sizing (Ueda)</t>
        </is>
      </c>
      <c r="B17" s="128" t="n"/>
      <c r="C17" s="128" t="n"/>
      <c r="D17" s="128" t="n"/>
    </row>
    <row r="18" ht="18" customHeight="1">
      <c r="A18" s="24" t="inlineStr">
        <is>
          <t>Dry koji required (kg dry)</t>
        </is>
      </c>
      <c r="B18" s="127">
        <f>IF(OR(B3="",B3=0),"",B3)</f>
        <v/>
      </c>
      <c r="C18" s="128" t="n"/>
      <c r="D18" s="128" t="n"/>
    </row>
    <row r="19" ht="18" customHeight="1">
      <c r="A19" s="24" t="inlineStr">
        <is>
          <t>Steamed weight (kg post‑steam)</t>
        </is>
      </c>
      <c r="B19" s="127">
        <f>IF(OR(B3="",B3=0),"",B3/(1-_Constants!B6))</f>
        <v/>
      </c>
      <c r="C19" s="128" t="n"/>
      <c r="D19" s="128" t="n"/>
    </row>
    <row r="20" ht="18" customHeight="1">
      <c r="A20" s="24" t="inlineStr">
        <is>
          <t>Pre‑inoc weight (kg pre‑inoc)</t>
        </is>
      </c>
      <c r="B20" s="127">
        <f>IF(OR(B3="",B3=0),"",B3/(1-_Constants!B7))</f>
        <v/>
      </c>
      <c r="C20" s="128" t="n"/>
      <c r="D20" s="128" t="n"/>
    </row>
    <row r="21" ht="18" customHeight="1">
      <c r="A21" s="24" t="inlineStr">
        <is>
          <t>Estimated trays</t>
        </is>
      </c>
      <c r="B21" s="127">
        <f>IF(OR(B19="",B19=0),"",CEILING(B19/_Constants!B8,1))</f>
        <v/>
      </c>
      <c r="C21" s="128" t="n"/>
      <c r="D21" s="128" t="n"/>
    </row>
    <row r="22" ht="18" customHeight="1">
      <c r="A22" s="24" t="inlineStr">
        <is>
          <t>Moto rice breakdown</t>
        </is>
      </c>
      <c r="B22" s="128" t="n"/>
      <c r="C22" s="128" t="n"/>
      <c r="D22" s="128" t="n"/>
    </row>
    <row r="23" ht="18" customHeight="1">
      <c r="A23" s="24" t="inlineStr">
        <is>
          <t>Moto raw rice (kg)</t>
        </is>
      </c>
      <c r="B23" s="127">
        <f>IF(OR(B11="",B11=0,_Inputs!B19=""),"",B11*_Inputs!B19)</f>
        <v/>
      </c>
      <c r="C23" s="128" t="n"/>
      <c r="D23" s="128" t="n"/>
    </row>
    <row r="24" ht="18" customHeight="1">
      <c r="A24" s="24" t="inlineStr">
        <is>
          <t>Moto kakemai (kg dry)</t>
        </is>
      </c>
      <c r="B24" s="127">
        <f>IF(OR(_Allocations!B11="",_Allocations!B11=0),"",(B11-IFERROR(B23,0)-IFERROR(_Allocations!C11,0)))</f>
        <v/>
      </c>
      <c r="C24" s="128" t="n"/>
      <c r="D24" s="128" t="n"/>
    </row>
    <row r="26" ht="15" customHeight="1">
      <c r="A26" s="15" t="inlineStr">
        <is>
          <t>NITROGEN PROFILE</t>
        </is>
      </c>
    </row>
    <row r="27" ht="15" customHeight="1">
      <c r="A27" t="inlineStr">
        <is>
          <t>Crude protein (%)</t>
        </is>
      </c>
      <c r="B27">
        <f>_Inputs!B26</f>
        <v/>
      </c>
    </row>
    <row r="28" ht="15" customHeight="1">
      <c r="A28" t="inlineStr">
        <is>
          <t>Digestible fraction (G/TP)</t>
        </is>
      </c>
      <c r="B28">
        <f>_Inputs!B27</f>
        <v/>
      </c>
    </row>
    <row r="29" ht="15" customHeight="1">
      <c r="A29" t="inlineStr">
        <is>
          <t>Locked fraction (P/TP)</t>
        </is>
      </c>
      <c r="B29" s="132">
        <f>_Inputs!B28</f>
        <v/>
      </c>
    </row>
    <row r="30" ht="15" customHeight="1">
      <c r="A30" t="inlineStr">
        <is>
          <t>G/P ratio</t>
        </is>
      </c>
      <c r="B30" s="132">
        <f>_Inputs!B29</f>
        <v/>
      </c>
    </row>
    <row r="31" ht="15" customHeight="1"/>
    <row r="32" ht="15" customHeight="1">
      <c r="A32" s="15" t="inlineStr">
        <is>
          <t>AMINO TENDENCY</t>
        </is>
      </c>
    </row>
    <row r="33" ht="15" customHeight="1">
      <c r="A33" t="inlineStr">
        <is>
          <t>Seimaibuai factor</t>
        </is>
      </c>
      <c r="B33">
        <f>IF(OR(_Inputs!B24="",_Inputs!B24=0),"",IF(_Inputs!B24&gt;=90,0.6,IF(_Inputs!B24&gt;=80,0.8,IF(_Inputs!B24&gt;=70,1,IF(_Inputs!B24&gt;=60,0.9,IF(_Inputs!B24&gt;=50,0.75,0.6))))))</f>
        <v/>
      </c>
    </row>
    <row r="34" ht="15" customHeight="1">
      <c r="A34" t="inlineStr">
        <is>
          <t>Amino tendency score</t>
        </is>
      </c>
      <c r="B34">
        <f>IF(OR(B27="",B28="",B33=""),"",ROUND(B27*B28*B33,1))</f>
        <v/>
      </c>
    </row>
    <row r="35" ht="15" customHeight="1">
      <c r="A35" t="inlineStr">
        <is>
          <t>Amino tendency</t>
        </is>
      </c>
      <c r="B35">
        <f>IF(B34="","",IF(B34&lt;1.5,"Very Low",IF(B34&lt;2,"Low",IF(B34&lt;2.5,"Medium",IF(B34&lt;3,"High","Very High")))))</f>
        <v/>
      </c>
    </row>
    <row r="36" ht="15" customHeight="1"/>
    <row r="37" ht="15" customHeight="1">
      <c r="A37" s="15" t="inlineStr">
        <is>
          <t>FERMENTATION VIGOR</t>
        </is>
      </c>
    </row>
    <row r="38" ht="15" customHeight="1">
      <c r="A38" t="inlineStr">
        <is>
          <t>Vigor factor</t>
        </is>
      </c>
      <c r="B38">
        <f>IF(OR(_Inputs!B24="",_Inputs!B24=0),"",IF(_Inputs!B24&gt;=90,1.5,IF(_Inputs!B24&gt;=80,1.25,IF(_Inputs!B24&gt;=70,1,IF(_Inputs!B24&gt;=60,0.85,0.7)))))</f>
        <v/>
      </c>
    </row>
    <row r="39" ht="15" customHeight="1">
      <c r="A39" t="inlineStr">
        <is>
          <t>Vigor level</t>
        </is>
      </c>
      <c r="B39">
        <f>IF(B38="","",IF(B38&gt;=1.4,"Very Fast",IF(B38&gt;=1.15,"Fast",IF(B38&gt;=0.9,"Standard",IF(B38&gt;=0.75,"Slow","Very Slow")))))</f>
        <v/>
      </c>
    </row>
    <row r="40" ht="15" customHeight="1">
      <c r="A40" t="inlineStr">
        <is>
          <t>Vigor warning</t>
        </is>
      </c>
      <c r="B40">
        <f>IF(B38="","",IF(B38&gt;=1.4,"⚠ Monitor closely - expect rapid ferment",IF(B38&lt;=0.75,"⚠ Extended timeline - watch for stuck ferment","")))</f>
        <v/>
      </c>
    </row>
    <row r="43" ht="15" customHeight="1">
      <c r="A43" t="inlineStr">
        <is>
          <t>CHART DATA</t>
        </is>
      </c>
    </row>
    <row r="44" ht="15" customHeight="1">
      <c r="A44" t="inlineStr">
        <is>
          <t>Stage</t>
        </is>
      </c>
      <c r="B44" t="inlineStr">
        <is>
          <t>Raw Rice</t>
        </is>
      </c>
      <c r="C44" t="inlineStr">
        <is>
          <t>Kakemai</t>
        </is>
      </c>
      <c r="D44" t="inlineStr">
        <is>
          <t>Koji</t>
        </is>
      </c>
      <c r="E44" t="inlineStr">
        <is>
          <t>Water</t>
        </is>
      </c>
    </row>
    <row r="45" ht="15" customHeight="1">
      <c r="A45" t="inlineStr">
        <is>
          <t>Moto</t>
        </is>
      </c>
      <c r="B45">
        <f>IFERROR(_Allocations!B23,0)</f>
        <v/>
      </c>
      <c r="C45">
        <f>IFERROR(_Allocations!B24,0)</f>
        <v/>
      </c>
      <c r="D45">
        <f>IFERROR(_Allocations!C11,0)</f>
        <v/>
      </c>
      <c r="E45">
        <f>IFERROR(_Allocations!D11,0)</f>
        <v/>
      </c>
    </row>
    <row r="46" ht="15" customHeight="1">
      <c r="A46" t="inlineStr">
        <is>
          <t>Soe</t>
        </is>
      </c>
      <c r="B46">
        <f>0</f>
        <v/>
      </c>
      <c r="C46">
        <f>IFERROR(_Allocations!B12,0)</f>
        <v/>
      </c>
      <c r="D46">
        <f>IFERROR(_Allocations!C12,0)</f>
        <v/>
      </c>
      <c r="E46">
        <f>IFERROR(_Allocations!D12,0)</f>
        <v/>
      </c>
    </row>
    <row r="47" ht="15" customHeight="1">
      <c r="A47" t="inlineStr">
        <is>
          <t>Naka</t>
        </is>
      </c>
      <c r="B47">
        <f>0</f>
        <v/>
      </c>
      <c r="C47">
        <f>IFERROR(_Allocations!B13,0)</f>
        <v/>
      </c>
      <c r="D47">
        <f>IFERROR(_Allocations!C13,0)</f>
        <v/>
      </c>
      <c r="E47">
        <f>IFERROR(_Allocations!D13,0)</f>
        <v/>
      </c>
    </row>
    <row r="48" ht="15" customHeight="1">
      <c r="A48" t="inlineStr">
        <is>
          <t>Tome</t>
        </is>
      </c>
      <c r="B48">
        <f>0</f>
        <v/>
      </c>
      <c r="C48">
        <f>IFERROR(_Allocations!B14,0)</f>
        <v/>
      </c>
      <c r="D48">
        <f>IFERROR(_Allocations!C14,0)</f>
        <v/>
      </c>
      <c r="E48">
        <f>IFERROR(_Allocations!D14,0)</f>
        <v/>
      </c>
    </row>
    <row r="49" ht="15" customHeight="1">
      <c r="A49" t="inlineStr">
        <is>
          <t>Yondan</t>
        </is>
      </c>
      <c r="B49">
        <f>0</f>
        <v/>
      </c>
      <c r="C49">
        <f>IFERROR(_Allocations!B15,0)</f>
        <v/>
      </c>
      <c r="D49">
        <f>IFERROR(_Allocations!C15,0)</f>
        <v/>
      </c>
      <c r="E49">
        <f>IFERROR(_Allocations!D15,0)</f>
        <v/>
      </c>
    </row>
    <row r="52" ht="15" customHeight="1">
      <c r="A52" s="15" t="inlineStr">
        <is>
          <t>PER-STAGE NITROGEN</t>
        </is>
      </c>
    </row>
    <row r="53" ht="15" customHeight="1">
      <c r="A53" t="inlineStr">
        <is>
          <t>Stage</t>
        </is>
      </c>
      <c r="B53" t="inlineStr">
        <is>
          <t>Lot</t>
        </is>
      </c>
      <c r="C53" t="inlineStr">
        <is>
          <t>Variety</t>
        </is>
      </c>
      <c r="D53" t="inlineStr">
        <is>
          <t>Polish %</t>
        </is>
      </c>
      <c r="E53" t="inlineStr">
        <is>
          <t>Protein %</t>
        </is>
      </c>
      <c r="F53" t="inlineStr">
        <is>
          <t>Rice kg</t>
        </is>
      </c>
      <c r="G53" t="inlineStr">
        <is>
          <t>N input (g)</t>
        </is>
      </c>
      <c r="H53" t="inlineStr">
        <is>
          <t>Yeast uptake factor</t>
        </is>
      </c>
      <c r="I53" t="inlineStr">
        <is>
          <t>Net N (g)</t>
        </is>
      </c>
    </row>
    <row r="54" ht="15" customHeight="1">
      <c r="A54" t="inlineStr">
        <is>
          <t>Kojimai</t>
        </is>
      </c>
      <c r="B54">
        <f>Recipe!B18</f>
        <v/>
      </c>
      <c r="C54">
        <f>IFERROR(VLOOKUP(B54,Recipe!$A$11:$D$14,2,FALSE()),"")</f>
        <v/>
      </c>
      <c r="D54">
        <f>IFERROR(VLOOKUP(B54,Recipe!$A$11:$D$14,3,FALSE()),"")</f>
        <v/>
      </c>
      <c r="E54">
        <f>IFERROR(IF(D54&gt;=90,VLOOKUP(C54,_Lookups!$P$2:$T$50,5,FALSE()),IF(D54&gt;=80,VLOOKUP(C54,_Lookups!$P$2:$T$50,5,FALSE())*0.85,IF(D54&gt;=70,VLOOKUP(C54,_Lookups!$P$2:$T$50,5,FALSE())*0.7,VLOOKUP(C54,_Lookups!$P$2:$T$50,5,FALSE())*0.55))),"")</f>
        <v/>
      </c>
      <c r="F54">
        <f>IFERROR(B3,"")</f>
        <v/>
      </c>
      <c r="G54">
        <f>IFERROR(IF(OR(E54="",F54=""),"",E54/100*F54*1000),"")</f>
        <v/>
      </c>
      <c r="H54">
        <f>0.3</f>
        <v/>
      </c>
      <c r="I54">
        <f>IFERROR(IF(OR(G54="",H54=""),"",G54*(1-H54)),"")</f>
        <v/>
      </c>
    </row>
    <row r="55" ht="15" customHeight="1">
      <c r="A55" t="inlineStr">
        <is>
          <t>Moto</t>
        </is>
      </c>
      <c r="B55">
        <f>Recipe!B19</f>
        <v/>
      </c>
      <c r="C55">
        <f>IFERROR(VLOOKUP(B55,Recipe!$A$11:$D$14,2,FALSE()),"")</f>
        <v/>
      </c>
      <c r="D55">
        <f>IFERROR(VLOOKUP(B55,Recipe!$A$11:$D$14,3,FALSE()),"")</f>
        <v/>
      </c>
      <c r="E55">
        <f>IFERROR(IF(D55&gt;=90,VLOOKUP(C55,_Lookups!$P$2:$T$50,5,FALSE()),IF(D55&gt;=80,VLOOKUP(C55,_Lookups!$P$2:$T$50,5,FALSE())*0.85,IF(D55&gt;=70,VLOOKUP(C55,_Lookups!$P$2:$T$50,5,FALSE())*0.7,VLOOKUP(C55,_Lookups!$P$2:$T$50,5,FALSE())*0.55))),"")</f>
        <v/>
      </c>
      <c r="F55">
        <f>IFERROR(B24,"")</f>
        <v/>
      </c>
      <c r="G55">
        <f>IFERROR(IF(OR(E55="",F55=""),"",E55/100*F55*1000),"")</f>
        <v/>
      </c>
      <c r="H55">
        <f>IFERROR(IF(D55&gt;=90,0.67,IF(D55&gt;=80,0.55,IF(D55&gt;=70,0.45,0.35))),0.5)</f>
        <v/>
      </c>
      <c r="I55">
        <f>IFERROR(IF(OR(G55="",H55=""),"",G55*(1-H55)),"")</f>
        <v/>
      </c>
    </row>
    <row r="56" ht="15" customHeight="1">
      <c r="A56" t="inlineStr">
        <is>
          <t>Soe</t>
        </is>
      </c>
      <c r="B56">
        <f>Recipe!B21</f>
        <v/>
      </c>
      <c r="C56">
        <f>IFERROR(VLOOKUP(B56,Recipe!$A$11:$D$14,2,FALSE()),"")</f>
        <v/>
      </c>
      <c r="D56">
        <f>IFERROR(VLOOKUP(B56,Recipe!$A$11:$D$14,3,FALSE()),"")</f>
        <v/>
      </c>
      <c r="E56">
        <f>IFERROR(IF(D56&gt;=90,VLOOKUP(C56,_Lookups!$P$2:$T$50,5,FALSE()),IF(D56&gt;=80,VLOOKUP(C56,_Lookups!$P$2:$T$50,5,FALSE())*0.85,IF(D56&gt;=70,VLOOKUP(C56,_Lookups!$P$2:$T$50,5,FALSE())*0.7,VLOOKUP(C56,_Lookups!$P$2:$T$50,5,FALSE())*0.55))),"")</f>
        <v/>
      </c>
      <c r="F56">
        <f>IFERROR(B12,"")</f>
        <v/>
      </c>
      <c r="G56">
        <f>IFERROR(IF(OR(E56="",F56=""),"",E56/100*F56*1000),"")</f>
        <v/>
      </c>
      <c r="H56">
        <f>IFERROR(IF(D56&gt;=90,0.67,IF(D56&gt;=80,0.55,IF(D56&gt;=70,0.45,0.35))),0.5)</f>
        <v/>
      </c>
      <c r="I56">
        <f>IFERROR(IF(OR(G56="",H56=""),"",G56*(1-H56)),"")</f>
        <v/>
      </c>
    </row>
    <row r="57" ht="15" customHeight="1">
      <c r="A57" t="inlineStr">
        <is>
          <t>Naka</t>
        </is>
      </c>
      <c r="B57">
        <f>Recipe!B22</f>
        <v/>
      </c>
      <c r="C57">
        <f>IFERROR(VLOOKUP(B57,Recipe!$A$11:$D$14,2,FALSE()),"")</f>
        <v/>
      </c>
      <c r="D57">
        <f>IFERROR(VLOOKUP(B57,Recipe!$A$11:$D$14,3,FALSE()),"")</f>
        <v/>
      </c>
      <c r="E57">
        <f>IFERROR(IF(D57&gt;=90,VLOOKUP(C57,_Lookups!$P$2:$T$50,5,FALSE()),IF(D57&gt;=80,VLOOKUP(C57,_Lookups!$P$2:$T$50,5,FALSE())*0.85,IF(D57&gt;=70,VLOOKUP(C57,_Lookups!$P$2:$T$50,5,FALSE())*0.7,VLOOKUP(C57,_Lookups!$P$2:$T$50,5,FALSE())*0.55))),"")</f>
        <v/>
      </c>
      <c r="F57">
        <f>IFERROR(B13,"")</f>
        <v/>
      </c>
      <c r="G57">
        <f>IFERROR(IF(OR(E57="",F57=""),"",E57/100*F57*1000),"")</f>
        <v/>
      </c>
      <c r="H57">
        <f>IFERROR(IF(D57&gt;=90,0.67,IF(D57&gt;=80,0.55,IF(D57&gt;=70,0.45,0.35))),0.5)</f>
        <v/>
      </c>
      <c r="I57">
        <f>IFERROR(IF(OR(G57="",H57=""),"",G57*(1-H57)),"")</f>
        <v/>
      </c>
    </row>
    <row r="58" ht="15" customHeight="1">
      <c r="A58" t="inlineStr">
        <is>
          <t>Tome</t>
        </is>
      </c>
      <c r="B58">
        <f>Recipe!B23</f>
        <v/>
      </c>
      <c r="C58">
        <f>IFERROR(VLOOKUP(B58,Recipe!$A$11:$D$14,2,FALSE()),"")</f>
        <v/>
      </c>
      <c r="D58">
        <f>IFERROR(VLOOKUP(B58,Recipe!$A$11:$D$14,3,FALSE()),"")</f>
        <v/>
      </c>
      <c r="E58">
        <f>IFERROR(IF(D58&gt;=90,VLOOKUP(C58,_Lookups!$P$2:$T$50,5,FALSE()),IF(D58&gt;=80,VLOOKUP(C58,_Lookups!$P$2:$T$50,5,FALSE())*0.85,IF(D58&gt;=70,VLOOKUP(C58,_Lookups!$P$2:$T$50,5,FALSE())*0.7,VLOOKUP(C58,_Lookups!$P$2:$T$50,5,FALSE())*0.55))),"")</f>
        <v/>
      </c>
      <c r="F58">
        <f>IFERROR(B14,"")</f>
        <v/>
      </c>
      <c r="G58">
        <f>IFERROR(IF(OR(E58="",F58=""),"",E58/100*F58*1000),"")</f>
        <v/>
      </c>
      <c r="H58">
        <f>IFERROR(IF(D58&gt;=90,0.67,IF(D58&gt;=80,0.55,IF(D58&gt;=70,0.45,0.35))),0.5)</f>
        <v/>
      </c>
      <c r="I58">
        <f>IFERROR(IF(OR(G58="",H58=""),"",G58*(1-H58)),"")</f>
        <v/>
      </c>
    </row>
    <row r="59" ht="15" customHeight="1">
      <c r="A59" t="inlineStr">
        <is>
          <t>Yondan</t>
        </is>
      </c>
      <c r="B59">
        <f>Recipe!B24</f>
        <v/>
      </c>
      <c r="C59">
        <f>IFERROR(VLOOKUP(B59,Recipe!$A$11:$D$14,2,FALSE()),"")</f>
        <v/>
      </c>
      <c r="D59">
        <f>IFERROR(VLOOKUP(B59,Recipe!$A$11:$D$14,3,FALSE()),"")</f>
        <v/>
      </c>
      <c r="E59">
        <f>IFERROR(IF(D59&gt;=90,VLOOKUP(C59,_Lookups!$P$2:$T$50,5,FALSE()),IF(D59&gt;=80,VLOOKUP(C59,_Lookups!$P$2:$T$50,5,FALSE())*0.85,IF(D59&gt;=70,VLOOKUP(C59,_Lookups!$P$2:$T$50,5,FALSE())*0.7,VLOOKUP(C59,_Lookups!$P$2:$T$50,5,FALSE())*0.55))),"")</f>
        <v/>
      </c>
      <c r="F59">
        <f>IFERROR(B15,"")</f>
        <v/>
      </c>
      <c r="G59">
        <f>IFERROR(IF(OR(E59="",F59=""),"",E59/100*F59*1000),"")</f>
        <v/>
      </c>
      <c r="H59">
        <f>IFERROR(IF(D59&gt;=90,0.67,IF(D59&gt;=80,0.55,IF(D59&gt;=70,0.45,0.35))),0.5)</f>
        <v/>
      </c>
      <c r="I59">
        <f>IFERROR(IF(OR(G59="",H59=""),"",G59*(1-H59)),"")</f>
        <v/>
      </c>
    </row>
    <row r="61" ht="15" customHeight="1">
      <c r="A61" s="15" t="inlineStr">
        <is>
          <t>TOTAL</t>
        </is>
      </c>
      <c r="F61">
        <f>SUM(F54:F59)</f>
        <v/>
      </c>
      <c r="G61">
        <f>SUM(G54:G59)</f>
        <v/>
      </c>
      <c r="I61">
        <f>SUM(I54:I59)</f>
        <v/>
      </c>
    </row>
    <row r="63" ht="15" customHeight="1">
      <c r="A63" s="15" t="inlineStr">
        <is>
          <t>AMINO ACIDITY MODEL (Simplified Iemura)</t>
        </is>
      </c>
    </row>
    <row r="64" ht="15" customHeight="1">
      <c r="A64" t="inlineStr">
        <is>
          <t>Total protein input (g)</t>
        </is>
      </c>
      <c r="B64" s="34">
        <f>G61</f>
        <v/>
      </c>
    </row>
    <row r="65" ht="15" customHeight="1">
      <c r="A65" t="inlineStr">
        <is>
          <t>Weighted avg polish (%)</t>
        </is>
      </c>
      <c r="B65" s="34">
        <f>IFERROR(IF(F61=0,"",ROUND(SUMPRODUCT(D54:D59,F54:F59)/F61,0)),"")</f>
        <v/>
      </c>
    </row>
    <row r="66" ht="15" customHeight="1">
      <c r="A66" t="inlineStr">
        <is>
          <t>Protein dissolved (g)</t>
        </is>
      </c>
      <c r="B66" s="34">
        <f>IFERROR(IF(B64="","",ROUND(B64*0.35,0)),"")</f>
        <v/>
      </c>
    </row>
    <row r="67" ht="15" customHeight="1">
      <c r="A67" t="inlineStr">
        <is>
          <t>Yeast uptake (g)</t>
        </is>
      </c>
      <c r="B67" s="34">
        <f>IFERROR(IF(OR(B65="",B66=""),"",ROUND(B66*(0.45+(B65-70)*0.011),0)),"")</f>
        <v/>
      </c>
    </row>
    <row r="68" ht="15" customHeight="1">
      <c r="A68" t="inlineStr">
        <is>
          <t>Uptake %</t>
        </is>
      </c>
      <c r="B68" s="34">
        <f>IFERROR(IF(OR(B66="",B67=""),"",TEXT(B67/B66,"0%")),"")</f>
        <v/>
      </c>
    </row>
    <row r="69" ht="15" customHeight="1">
      <c r="A69" s="5" t="inlineStr">
        <is>
          <t>Residual N (g)</t>
        </is>
      </c>
      <c r="B69" s="133">
        <f>IFERROR(IF(OR(B66="",B67=""),"",B66-B67),"")</f>
        <v/>
      </c>
    </row>
    <row r="70" ht="15" customHeight="1">
      <c r="A70" t="inlineStr">
        <is>
          <t>Expected volume (L)</t>
        </is>
      </c>
      <c r="B70" s="34">
        <f>B7</f>
        <v/>
      </c>
    </row>
    <row r="71" ht="15" customHeight="1">
      <c r="A71" t="inlineStr">
        <is>
          <t>Predicted amino acidity</t>
        </is>
      </c>
      <c r="B71" s="34">
        <f>IFERROR(IF(OR(B69="",B70="",B70=0),"",ROUND(B69/B70*0.2,2)),"")</f>
        <v/>
      </c>
    </row>
    <row r="72" ht="15" customHeight="1">
      <c r="A72" t="inlineStr">
        <is>
          <t>Amino tendency</t>
        </is>
      </c>
      <c r="B72" s="34">
        <f>IFERROR(IF(B71="","",IF(B71&lt;1,"Very Low (clean)",IF(B71&lt;1.3,"Low (ginjo)",IF(B71&lt;1.6,"Standard",IF(B71&lt;2,"High (junmai)","Very High (kimoto)"))))),"")</f>
        <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B33"/>
  <sheetViews>
    <sheetView zoomScale="120" zoomScaleNormal="120" workbookViewId="0">
      <selection activeCell="A1" sqref="A1"/>
    </sheetView>
  </sheetViews>
  <sheetFormatPr baseColWidth="10" defaultColWidth="8.83203125" defaultRowHeight="15"/>
  <cols>
    <col width="21" customWidth="1" min="1" max="1"/>
    <col width="14" customWidth="1" min="2" max="2"/>
    <col width="40" customWidth="1" min="3" max="3"/>
  </cols>
  <sheetData>
    <row r="1" ht="18" customHeight="1">
      <c r="A1" s="18" t="inlineStr">
        <is>
          <t>Preset name</t>
        </is>
      </c>
      <c r="B1" s="128">
        <f>Recipe!B5</f>
        <v/>
      </c>
    </row>
    <row r="2" ht="18" customHeight="1">
      <c r="A2" s="24" t="inlineStr">
        <is>
          <t>Baseline index</t>
        </is>
      </c>
      <c r="B2" s="134">
        <f>IFERROR(MATCH(_Inputs!B1,_Presets!$A$2:$A$100,0),"")</f>
        <v/>
      </c>
    </row>
    <row r="3" ht="18" customHeight="1">
      <c r="A3" s="38" t="n"/>
      <c r="B3" s="38" t="n"/>
    </row>
    <row r="4" ht="18" customHeight="1">
      <c r="A4" s="24" t="inlineStr">
        <is>
          <t>Total rice (kg)</t>
        </is>
      </c>
      <c r="B4" s="134">
        <f>Recipe!B4</f>
        <v/>
      </c>
    </row>
    <row r="5" ht="18" customHeight="1">
      <c r="A5" s="24" t="inlineStr">
        <is>
          <t>Koji fraction</t>
        </is>
      </c>
      <c r="B5" s="134">
        <f>IF(_Inputs!B2="","",INDEX(_Presets!$B$2:$B$100,_Inputs!B2))</f>
        <v/>
      </c>
    </row>
    <row r="6" ht="18" customHeight="1">
      <c r="A6" s="24" t="inlineStr">
        <is>
          <t>Water L/kg</t>
        </is>
      </c>
      <c r="B6" s="134">
        <f>IF(B1="Select","",IFERROR(VLOOKUP(B1,_Presets!$A$2:$C$100,3,FALSE()),1.3))</f>
        <v/>
      </c>
    </row>
    <row r="7" ht="18" customHeight="1">
      <c r="A7" s="24" t="inlineStr">
        <is>
          <t>Moto % of total</t>
        </is>
      </c>
      <c r="B7" s="134">
        <f>IF(_Inputs!B2="","",INDEX(_Presets!$P$2:$P$100,_Inputs!B2))</f>
        <v/>
      </c>
    </row>
    <row r="8" ht="18" customHeight="1">
      <c r="A8" s="24" t="inlineStr">
        <is>
          <t>Soe %</t>
        </is>
      </c>
      <c r="B8" s="134">
        <f>IF(_Inputs!B2="","",INDEX(_Presets!$D$2:$D$100,_Inputs!B2))</f>
        <v/>
      </c>
    </row>
    <row r="9" ht="18" customHeight="1">
      <c r="A9" s="24" t="inlineStr">
        <is>
          <t>Naka %</t>
        </is>
      </c>
      <c r="B9" s="134">
        <f>IF(_Inputs!B2="","",INDEX(_Presets!$E$2:$E$100,_Inputs!B2))</f>
        <v/>
      </c>
    </row>
    <row r="10" ht="18" customHeight="1">
      <c r="A10" s="24" t="inlineStr">
        <is>
          <t>Tome %</t>
        </is>
      </c>
      <c r="B10" s="134">
        <f>IF(_Inputs!B2="","",INDEX(_Presets!$F$2:$F$100,_Inputs!B2))</f>
        <v/>
      </c>
    </row>
    <row r="11" ht="18" customHeight="1">
      <c r="A11" s="24" t="inlineStr">
        <is>
          <t>Yon %</t>
        </is>
      </c>
      <c r="B11" s="134">
        <f>IF(_Inputs!B2="","",INDEX(_Presets!$G$2:$G$100,_Inputs!B2))</f>
        <v/>
      </c>
    </row>
    <row r="12" ht="18" customHeight="1">
      <c r="A12" s="24" t="inlineStr">
        <is>
          <t>Koji Soe %</t>
        </is>
      </c>
      <c r="B12" s="134">
        <f>IF(_Inputs!B2="","",INDEX(_Presets!$H$2:$H$100,_Inputs!B2))</f>
        <v/>
      </c>
    </row>
    <row r="13" ht="18" customHeight="1">
      <c r="A13" s="24" t="inlineStr">
        <is>
          <t>Koji Naka %</t>
        </is>
      </c>
      <c r="B13" s="134">
        <f>IF(_Inputs!B2="","",INDEX(_Presets!$I$2:$I$100,_Inputs!B2))</f>
        <v/>
      </c>
    </row>
    <row r="14" ht="18" customHeight="1">
      <c r="A14" s="24" t="inlineStr">
        <is>
          <t>Koji Tome %</t>
        </is>
      </c>
      <c r="B14" s="134">
        <f>IF(_Inputs!B2="","",INDEX(_Presets!$J$2:$J$100,_Inputs!B2))</f>
        <v/>
      </c>
    </row>
    <row r="15" ht="18" customHeight="1">
      <c r="A15" s="24" t="inlineStr">
        <is>
          <t>Koji Yon %</t>
        </is>
      </c>
      <c r="B15" s="134">
        <f>IF(_Inputs!B2="","",INDEX(_Presets!$K$2:$K$100,_Inputs!B2))</f>
        <v/>
      </c>
    </row>
    <row r="16" ht="18" customHeight="1">
      <c r="A16" s="24" t="inlineStr">
        <is>
          <t>Water Tome</t>
        </is>
      </c>
      <c r="B16" s="134">
        <f>IF(_Inputs!B2="","",INDEX(_Presets!$N$2:$N$100,_Inputs!B2))</f>
        <v/>
      </c>
    </row>
    <row r="17" ht="18" customHeight="1">
      <c r="A17" s="24" t="inlineStr">
        <is>
          <t>Moto Koji %</t>
        </is>
      </c>
      <c r="B17" s="134">
        <f>IF(_Inputs!B2="","",INDEX(_Presets!$Q$2:$Q$100,_Inputs!B2))</f>
        <v/>
      </c>
    </row>
    <row r="18" ht="18" customHeight="1">
      <c r="A18" s="38" t="inlineStr">
        <is>
          <t>Moto Water %</t>
        </is>
      </c>
      <c r="B18" s="135">
        <f>IF(_Inputs!B2="","",INDEX(_Presets!$R$2:$R$100,_Inputs!B2))</f>
        <v/>
      </c>
    </row>
    <row r="19" ht="18" customHeight="1">
      <c r="A19" s="38" t="inlineStr">
        <is>
          <t>Moto Raw Rice %</t>
        </is>
      </c>
      <c r="B19" s="135">
        <f>IF(_Inputs!B2="","",INDEX(_Presets!$S$2:$S$100,_Inputs!B2))</f>
        <v/>
      </c>
    </row>
    <row r="20" ht="18" customHeight="1">
      <c r="A20" s="24" t="inlineStr">
        <is>
          <t>Water Soe %</t>
        </is>
      </c>
      <c r="B20" s="134">
        <f>IF(_Inputs!B2="","",INDEX(_Presets!$L$2:$L$100,_Inputs!B2))</f>
        <v/>
      </c>
    </row>
    <row r="21" ht="18" customHeight="1">
      <c r="A21" s="24" t="inlineStr">
        <is>
          <t>Water Naka %</t>
        </is>
      </c>
      <c r="B21" s="134">
        <f>IF(_Inputs!B2="","",INDEX(_Presets!$M$2:$M$100,_Inputs!B2))</f>
        <v/>
      </c>
    </row>
    <row r="22" ht="18" customHeight="1">
      <c r="A22" s="24" t="inlineStr">
        <is>
          <t>Water Yon %</t>
        </is>
      </c>
      <c r="B22" s="134">
        <f>IF(_Inputs!B2="","",INDEX(_Presets!$O$2:$O$100,_Inputs!B2))</f>
        <v/>
      </c>
    </row>
    <row r="23" ht="18" customHeight="1">
      <c r="A23" s="24" t="n"/>
      <c r="B23" s="134" t="n"/>
    </row>
    <row r="24" ht="18" customHeight="1">
      <c r="A24" s="24" t="inlineStr">
        <is>
          <t>Seimaibuai</t>
        </is>
      </c>
      <c r="B24" s="134">
        <f>IF(Recipe!B18="Select","",IF(Recipe!B18="Lot A",Recipe!C11,IF(Recipe!B18="Lot B",Recipe!C12,IF(Recipe!B18="Lot C",Recipe!C13,IF(Recipe!B18="Lot D",Recipe!C14,"")))))</f>
        <v/>
      </c>
    </row>
    <row r="25" ht="18" customHeight="1">
      <c r="A25" s="24" t="inlineStr">
        <is>
          <t>Rice variety</t>
        </is>
      </c>
      <c r="B25" s="134">
        <f>IF(Recipe!B18="Select","",IF(Recipe!B18="Lot A",Recipe!B11,IF(Recipe!B18="Lot B",Recipe!B12,IF(Recipe!B18="Lot C",Recipe!B13,IF(Recipe!B18="Lot D",Recipe!B14,"")))))</f>
        <v/>
      </c>
    </row>
    <row r="26" ht="18" customHeight="1">
      <c r="A26" s="24" t="inlineStr">
        <is>
          <t>Crude protein %</t>
        </is>
      </c>
      <c r="B26" s="134">
        <f>IF(OR(_Inputs!B24="",_Inputs!B24=0),"",IF(_Inputs!B24&gt;=90,7.5,IF(_Inputs!B24&gt;=70,5.5,IF(_Inputs!B24&gt;=50,4,3.5))))</f>
        <v/>
      </c>
    </row>
    <row r="27" ht="18" customHeight="1">
      <c r="A27" s="38" t="inlineStr">
        <is>
          <t>G/TP ratio</t>
        </is>
      </c>
      <c r="B27" s="38">
        <f>IFERROR(VLOOKUP(B25,_Lookups!$P$2:$U$20,2,FALSE()),0.41)</f>
        <v/>
      </c>
    </row>
    <row r="28" ht="18" customHeight="1">
      <c r="A28" s="24" t="inlineStr">
        <is>
          <t>P/TP ratio</t>
        </is>
      </c>
      <c r="B28" s="134">
        <f>IFERROR(VLOOKUP(B25,_Lookups!$P$2:$U$20,3,FALSE()),0.21)</f>
        <v/>
      </c>
    </row>
    <row r="29" ht="18" customHeight="1">
      <c r="A29" s="24" t="inlineStr">
        <is>
          <t>G/P ratio</t>
        </is>
      </c>
      <c r="B29" s="134">
        <f>IFERROR(VLOOKUP(B25,_Lookups!$P$2:$U$20,4,FALSE()),1.97)</f>
        <v/>
      </c>
    </row>
    <row r="30" ht="18" customHeight="1">
      <c r="A30" s="24" t="inlineStr">
        <is>
          <t>Koji mold type</t>
        </is>
      </c>
      <c r="B30" s="134">
        <f>IFERROR(VLOOKUP(Recipe!B7,_Lookups!$B$2:$C$40,2,FALSE()),"")</f>
        <v/>
      </c>
    </row>
    <row r="31" ht="18" customHeight="1">
      <c r="A31" s="24" t="inlineStr">
        <is>
          <t>Citric factor</t>
        </is>
      </c>
      <c r="B31" s="134">
        <f>IFERROR(VLOOKUP(B30,_Lookups!$V$2:$W$5,2,FALSE()),0)</f>
        <v/>
      </c>
    </row>
    <row r="32" ht="18" customHeight="1">
      <c r="A32" s="24" t="inlineStr">
        <is>
          <t>Press method</t>
        </is>
      </c>
      <c r="B32" s="134">
        <f>Recipe!B36</f>
        <v/>
      </c>
    </row>
    <row r="33" ht="15" customHeight="1">
      <c r="A33" t="inlineStr">
        <is>
          <t>Press efficiency</t>
        </is>
      </c>
      <c r="B33">
        <f>IFERROR(VLOOKUP(_Inputs!B32,_Lookups!$CH$1:$CI$10,2,FALSE()),"")</f>
        <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D44"/>
  <sheetViews>
    <sheetView zoomScale="120" zoomScaleNormal="120" workbookViewId="0">
      <selection activeCell="A1" sqref="A1"/>
    </sheetView>
  </sheetViews>
  <sheetFormatPr baseColWidth="10" defaultColWidth="8.83203125" defaultRowHeight="15"/>
  <cols>
    <col width="26" customWidth="1" min="1" max="1"/>
    <col width="9" customWidth="1" min="2" max="2"/>
    <col width="10" customWidth="1" min="3" max="3"/>
    <col width="9" customWidth="1" min="4" max="4"/>
    <col width="10" customWidth="1" min="5" max="6"/>
    <col width="9" customWidth="1" min="7" max="8"/>
    <col width="10" customWidth="1" min="9" max="10"/>
    <col width="9" customWidth="1" min="11" max="11"/>
    <col width="10" customWidth="1" min="12" max="12"/>
    <col width="11" customWidth="1" min="13" max="14"/>
    <col width="10" customWidth="1" min="15" max="15"/>
    <col width="9" customWidth="1" min="16" max="16"/>
    <col width="13" customWidth="1" min="17" max="17"/>
    <col width="14" customWidth="1" min="18" max="18"/>
    <col width="16" customWidth="1" min="19" max="19"/>
    <col width="20" customWidth="1" min="20" max="20"/>
    <col width="15" customWidth="1" min="21" max="21"/>
  </cols>
  <sheetData>
    <row r="1" ht="21.75" customHeight="1">
      <c r="A1" s="117" t="inlineStr">
        <is>
          <t>Name</t>
        </is>
      </c>
      <c r="B1" s="117" t="inlineStr">
        <is>
          <t>KojiPct</t>
        </is>
      </c>
      <c r="C1" s="117" t="inlineStr">
        <is>
          <t>WaterLkg</t>
        </is>
      </c>
      <c r="D1" s="117" t="inlineStr">
        <is>
          <t>RiceSoe</t>
        </is>
      </c>
      <c r="E1" s="117" t="inlineStr">
        <is>
          <t>RiceNaka</t>
        </is>
      </c>
      <c r="F1" s="117" t="inlineStr">
        <is>
          <t>RiceTome</t>
        </is>
      </c>
      <c r="G1" s="117" t="inlineStr">
        <is>
          <t>RiceYon</t>
        </is>
      </c>
      <c r="H1" s="117" t="inlineStr">
        <is>
          <t>KojiSoe</t>
        </is>
      </c>
      <c r="I1" s="117" t="inlineStr">
        <is>
          <t>KojiNaka</t>
        </is>
      </c>
      <c r="J1" s="117" t="inlineStr">
        <is>
          <t>KojiTome</t>
        </is>
      </c>
      <c r="K1" s="117" t="inlineStr">
        <is>
          <t>KojiYon</t>
        </is>
      </c>
      <c r="L1" s="117" t="inlineStr">
        <is>
          <t>WaterSoe</t>
        </is>
      </c>
      <c r="M1" s="117" t="inlineStr">
        <is>
          <t>WaterNaka</t>
        </is>
      </c>
      <c r="N1" s="117" t="inlineStr">
        <is>
          <t>WaterTome</t>
        </is>
      </c>
      <c r="O1" s="113" t="inlineStr">
        <is>
          <t>WaterYon</t>
        </is>
      </c>
      <c r="P1" s="113" t="inlineStr">
        <is>
          <t>MotoPct</t>
        </is>
      </c>
      <c r="Q1" s="113" t="inlineStr">
        <is>
          <t>MotoKojiPct</t>
        </is>
      </c>
      <c r="R1" s="113" t="inlineStr">
        <is>
          <t>MotoWaterPct</t>
        </is>
      </c>
      <c r="S1" s="113" t="inlineStr">
        <is>
          <t>MotoRawRicePct</t>
        </is>
      </c>
      <c r="T1" s="113" t="inlineStr">
        <is>
          <t>LotA_Variety</t>
        </is>
      </c>
      <c r="U1" s="113" t="inlineStr">
        <is>
          <t>LotA_Polish</t>
        </is>
      </c>
      <c r="V1" t="inlineStr">
        <is>
          <t>LotB_Variety</t>
        </is>
      </c>
      <c r="W1" t="inlineStr">
        <is>
          <t>LotB_Polish</t>
        </is>
      </c>
      <c r="X1" t="inlineStr">
        <is>
          <t>Koji_Lot</t>
        </is>
      </c>
      <c r="Y1" t="inlineStr">
        <is>
          <t>MotoRaw_Lot</t>
        </is>
      </c>
      <c r="Z1" t="inlineStr">
        <is>
          <t>MotoStm_Lot</t>
        </is>
      </c>
      <c r="AA1" t="inlineStr">
        <is>
          <t>Soe_Lot</t>
        </is>
      </c>
      <c r="AB1" t="inlineStr">
        <is>
          <t>Naka_Lot</t>
        </is>
      </c>
      <c r="AC1" t="inlineStr">
        <is>
          <t>Tome_Lot</t>
        </is>
      </c>
      <c r="AD1" t="inlineStr">
        <is>
          <t>Yon_Lot</t>
        </is>
      </c>
    </row>
    <row r="2" ht="18" customHeight="1">
      <c r="A2" s="57" t="inlineStr">
        <is>
          <t>Select ▽</t>
        </is>
      </c>
      <c r="B2" s="136" t="n">
        <v>0.22</v>
      </c>
      <c r="C2" s="38" t="n">
        <v>1.3</v>
      </c>
      <c r="D2" s="38" t="n">
        <v>0.15</v>
      </c>
      <c r="E2" s="38" t="n">
        <v>0.35</v>
      </c>
      <c r="F2" s="38" t="n">
        <v>0.5</v>
      </c>
      <c r="G2" s="38" t="n">
        <v>0</v>
      </c>
      <c r="H2" s="38" t="n">
        <v>0.28</v>
      </c>
      <c r="I2" s="38" t="n">
        <v>0.22</v>
      </c>
      <c r="J2" s="38" t="n">
        <v>0.18</v>
      </c>
      <c r="K2" s="38" t="n">
        <v>0</v>
      </c>
      <c r="L2" s="38" t="n">
        <v>0.95</v>
      </c>
      <c r="M2" s="38" t="n">
        <v>1.25</v>
      </c>
      <c r="N2" s="38" t="n">
        <v>1.45</v>
      </c>
      <c r="O2" s="38" t="n">
        <v>0</v>
      </c>
      <c r="P2" s="38" t="n">
        <v>0.07000000000000001</v>
      </c>
      <c r="Q2" s="38" t="n">
        <v>0.33</v>
      </c>
      <c r="R2" s="38" t="n">
        <v>1.1</v>
      </c>
      <c r="S2" s="38" t="n">
        <v>0</v>
      </c>
      <c r="T2" s="38" t="n"/>
      <c r="U2" s="38" t="n"/>
    </row>
    <row r="3" ht="18" customHeight="1">
      <c r="A3" s="120" t="inlineStr">
        <is>
          <t>Custom</t>
        </is>
      </c>
      <c r="B3" s="123" t="n">
        <v>0.23</v>
      </c>
      <c r="C3" s="123" t="n">
        <v>1.3</v>
      </c>
      <c r="D3" s="123" t="n">
        <v>0.2</v>
      </c>
      <c r="E3" s="123" t="n">
        <v>0.3</v>
      </c>
      <c r="F3" s="123" t="n">
        <v>0.5</v>
      </c>
      <c r="G3" s="123" t="n">
        <v>0</v>
      </c>
      <c r="H3" s="123" t="n">
        <v>0.6</v>
      </c>
      <c r="I3" s="123" t="n">
        <v>0.3</v>
      </c>
      <c r="J3" s="123" t="n">
        <v>0.1</v>
      </c>
      <c r="K3" s="123" t="n">
        <v>0</v>
      </c>
      <c r="L3" s="123" t="n">
        <v>0.4</v>
      </c>
      <c r="M3" s="123" t="n">
        <v>0.3</v>
      </c>
      <c r="N3" s="123" t="n">
        <v>0.3</v>
      </c>
      <c r="O3" s="128" t="n">
        <v>0</v>
      </c>
      <c r="P3" s="128" t="n">
        <v>0.07000000000000001</v>
      </c>
      <c r="Q3" s="128" t="n">
        <v>0.33</v>
      </c>
      <c r="R3" s="128" t="n">
        <v>1.2</v>
      </c>
      <c r="S3" s="128" t="n">
        <v>0</v>
      </c>
      <c r="T3" s="128" t="n"/>
      <c r="U3" s="38" t="n"/>
    </row>
    <row r="4" ht="18" customHeight="1">
      <c r="A4" s="137" t="inlineStr">
        <is>
          <t>Standard_NRIB</t>
        </is>
      </c>
      <c r="B4" s="138" t="n">
        <v>0.217</v>
      </c>
      <c r="C4" s="138" t="n">
        <v>1.3</v>
      </c>
      <c r="D4" s="138" t="n">
        <v>0.1667</v>
      </c>
      <c r="E4" s="138" t="n">
        <v>0.3333</v>
      </c>
      <c r="F4" s="138" t="n">
        <v>0.5</v>
      </c>
      <c r="G4" s="138" t="n">
        <v>0</v>
      </c>
      <c r="H4" s="138" t="n">
        <v>0.222</v>
      </c>
      <c r="I4" s="138" t="n">
        <v>0.333</v>
      </c>
      <c r="J4" s="138" t="n">
        <v>0.444</v>
      </c>
      <c r="K4" s="138" t="n">
        <v>0</v>
      </c>
      <c r="L4" s="138" t="n">
        <v>0.95</v>
      </c>
      <c r="M4" s="138" t="n">
        <v>1.25</v>
      </c>
      <c r="N4" s="138" t="n">
        <v>1.45</v>
      </c>
      <c r="O4" s="139" t="n">
        <v>0</v>
      </c>
      <c r="P4" s="139" t="n">
        <v>0.07000000000000001</v>
      </c>
      <c r="Q4" s="139" t="n">
        <v>0.308</v>
      </c>
      <c r="R4" s="139" t="n">
        <v>1.1</v>
      </c>
      <c r="S4" s="139" t="n">
        <v>0</v>
      </c>
      <c r="T4" s="128" t="inlineStr">
        <is>
          <t>Generic</t>
        </is>
      </c>
      <c r="U4" s="38" t="n">
        <v>70</v>
      </c>
      <c r="X4" t="inlineStr">
        <is>
          <t>Lot A</t>
        </is>
      </c>
      <c r="Y4" t="inlineStr">
        <is>
          <t>Lot A</t>
        </is>
      </c>
      <c r="Z4" t="inlineStr">
        <is>
          <t>Lot A</t>
        </is>
      </c>
      <c r="AA4" t="inlineStr">
        <is>
          <t>Lot A</t>
        </is>
      </c>
      <c r="AB4" t="inlineStr">
        <is>
          <t>Lot A</t>
        </is>
      </c>
      <c r="AC4" t="inlineStr">
        <is>
          <t>Lot A</t>
        </is>
      </c>
      <c r="AD4" t="inlineStr">
        <is>
          <t>Lot A</t>
        </is>
      </c>
    </row>
    <row r="5" ht="18" customHeight="1">
      <c r="A5" s="137" t="inlineStr">
        <is>
          <t>Junmai</t>
        </is>
      </c>
      <c r="B5" s="138" t="n">
        <v>0.22</v>
      </c>
      <c r="C5" s="138" t="n">
        <v>1.3</v>
      </c>
      <c r="D5" s="138" t="n">
        <v>0.1667</v>
      </c>
      <c r="E5" s="138" t="n">
        <v>0.3333</v>
      </c>
      <c r="F5" s="138" t="n">
        <v>0.5</v>
      </c>
      <c r="G5" s="138" t="n">
        <v>0</v>
      </c>
      <c r="H5" s="138" t="n">
        <v>0.222</v>
      </c>
      <c r="I5" s="138" t="n">
        <v>0.333</v>
      </c>
      <c r="J5" s="138" t="n">
        <v>0.444</v>
      </c>
      <c r="K5" s="138" t="n">
        <v>0</v>
      </c>
      <c r="L5" s="138" t="n">
        <v>0.95</v>
      </c>
      <c r="M5" s="138" t="n">
        <v>1.25</v>
      </c>
      <c r="N5" s="138" t="n">
        <v>1.45</v>
      </c>
      <c r="O5" s="139" t="n">
        <v>0</v>
      </c>
      <c r="P5" s="139" t="n">
        <v>0.07000000000000001</v>
      </c>
      <c r="Q5" s="139" t="n">
        <v>0.33</v>
      </c>
      <c r="R5" s="139" t="n">
        <v>1.1</v>
      </c>
      <c r="S5" s="139" t="n">
        <v>0</v>
      </c>
      <c r="T5" s="128" t="inlineStr">
        <is>
          <t>Gohyakumangoku</t>
        </is>
      </c>
      <c r="U5" s="38" t="n">
        <v>70</v>
      </c>
      <c r="X5" t="inlineStr">
        <is>
          <t>Lot A</t>
        </is>
      </c>
      <c r="Y5" t="inlineStr">
        <is>
          <t>Lot A</t>
        </is>
      </c>
      <c r="Z5" t="inlineStr">
        <is>
          <t>Lot A</t>
        </is>
      </c>
      <c r="AA5" t="inlineStr">
        <is>
          <t>Lot A</t>
        </is>
      </c>
      <c r="AB5" t="inlineStr">
        <is>
          <t>Lot A</t>
        </is>
      </c>
      <c r="AC5" t="inlineStr">
        <is>
          <t>Lot A</t>
        </is>
      </c>
      <c r="AD5" t="inlineStr">
        <is>
          <t>Lot A</t>
        </is>
      </c>
    </row>
    <row r="6" ht="18" customHeight="1">
      <c r="A6" s="137" t="inlineStr">
        <is>
          <t>Ginjo</t>
        </is>
      </c>
      <c r="B6" s="138" t="n">
        <v>0.22</v>
      </c>
      <c r="C6" s="138" t="n">
        <v>1.3</v>
      </c>
      <c r="D6" s="138" t="n">
        <v>0.1667</v>
      </c>
      <c r="E6" s="138" t="n">
        <v>0.3333</v>
      </c>
      <c r="F6" s="138" t="n">
        <v>0.5</v>
      </c>
      <c r="G6" s="138" t="n">
        <v>0</v>
      </c>
      <c r="H6" s="138" t="n">
        <v>0.222</v>
      </c>
      <c r="I6" s="138" t="n">
        <v>0.333</v>
      </c>
      <c r="J6" s="138" t="n">
        <v>0.444</v>
      </c>
      <c r="K6" s="138" t="n">
        <v>0</v>
      </c>
      <c r="L6" s="138" t="n">
        <v>0.95</v>
      </c>
      <c r="M6" s="138" t="n">
        <v>1.25</v>
      </c>
      <c r="N6" s="138" t="n">
        <v>1.45</v>
      </c>
      <c r="O6" s="139" t="n">
        <v>0</v>
      </c>
      <c r="P6" s="139" t="n">
        <v>0.07000000000000001</v>
      </c>
      <c r="Q6" s="139" t="n">
        <v>0.33</v>
      </c>
      <c r="R6" s="139" t="n">
        <v>1.1</v>
      </c>
      <c r="S6" s="139" t="n">
        <v>0</v>
      </c>
      <c r="T6" s="128" t="inlineStr">
        <is>
          <t>Yamadanishiki</t>
        </is>
      </c>
      <c r="U6" s="38" t="n">
        <v>55</v>
      </c>
      <c r="X6" t="inlineStr">
        <is>
          <t>Lot A</t>
        </is>
      </c>
      <c r="Y6" t="inlineStr">
        <is>
          <t>Lot A</t>
        </is>
      </c>
      <c r="Z6" t="inlineStr">
        <is>
          <t>Lot A</t>
        </is>
      </c>
      <c r="AA6" t="inlineStr">
        <is>
          <t>Lot A</t>
        </is>
      </c>
      <c r="AB6" t="inlineStr">
        <is>
          <t>Lot A</t>
        </is>
      </c>
      <c r="AC6" t="inlineStr">
        <is>
          <t>Lot A</t>
        </is>
      </c>
      <c r="AD6" t="inlineStr">
        <is>
          <t>Lot A</t>
        </is>
      </c>
    </row>
    <row r="7" ht="18" customHeight="1">
      <c r="A7" s="137" t="inlineStr">
        <is>
          <t>Junmai_Ginjo</t>
        </is>
      </c>
      <c r="B7" s="138" t="n">
        <v>0.22</v>
      </c>
      <c r="C7" s="138" t="n">
        <v>1.3</v>
      </c>
      <c r="D7" s="138" t="n">
        <v>0.1667</v>
      </c>
      <c r="E7" s="138" t="n">
        <v>0.3333</v>
      </c>
      <c r="F7" s="138" t="n">
        <v>0.5</v>
      </c>
      <c r="G7" s="138" t="n">
        <v>0</v>
      </c>
      <c r="H7" s="138" t="n">
        <v>0.222</v>
      </c>
      <c r="I7" s="138" t="n">
        <v>0.333</v>
      </c>
      <c r="J7" s="138" t="n">
        <v>0.444</v>
      </c>
      <c r="K7" s="138" t="n">
        <v>0</v>
      </c>
      <c r="L7" s="138" t="n">
        <v>0.95</v>
      </c>
      <c r="M7" s="138" t="n">
        <v>1.25</v>
      </c>
      <c r="N7" s="138" t="n">
        <v>1.45</v>
      </c>
      <c r="O7" s="139" t="n">
        <v>0</v>
      </c>
      <c r="P7" s="139" t="n">
        <v>0.07000000000000001</v>
      </c>
      <c r="Q7" s="139" t="n">
        <v>0.33</v>
      </c>
      <c r="R7" s="139" t="n">
        <v>1.1</v>
      </c>
      <c r="S7" s="139" t="n">
        <v>0</v>
      </c>
      <c r="T7" s="128" t="inlineStr">
        <is>
          <t>Yamadanishiki</t>
        </is>
      </c>
      <c r="U7" s="38" t="n">
        <v>55</v>
      </c>
      <c r="X7" t="inlineStr">
        <is>
          <t>Lot A</t>
        </is>
      </c>
      <c r="Y7" t="inlineStr">
        <is>
          <t>Lot A</t>
        </is>
      </c>
      <c r="Z7" t="inlineStr">
        <is>
          <t>Lot A</t>
        </is>
      </c>
      <c r="AA7" t="inlineStr">
        <is>
          <t>Lot A</t>
        </is>
      </c>
      <c r="AB7" t="inlineStr">
        <is>
          <t>Lot A</t>
        </is>
      </c>
      <c r="AC7" t="inlineStr">
        <is>
          <t>Lot A</t>
        </is>
      </c>
      <c r="AD7" t="inlineStr">
        <is>
          <t>Lot A</t>
        </is>
      </c>
    </row>
    <row r="8" ht="18" customHeight="1">
      <c r="A8" s="137" t="inlineStr">
        <is>
          <t>Daiginjo</t>
        </is>
      </c>
      <c r="B8" s="138" t="n">
        <v>0.22</v>
      </c>
      <c r="C8" s="138" t="n">
        <v>1.3</v>
      </c>
      <c r="D8" s="138" t="n">
        <v>0.1667</v>
      </c>
      <c r="E8" s="138" t="n">
        <v>0.3333</v>
      </c>
      <c r="F8" s="138" t="n">
        <v>0.5</v>
      </c>
      <c r="G8" s="138" t="n">
        <v>0</v>
      </c>
      <c r="H8" s="138" t="n">
        <v>0.222</v>
      </c>
      <c r="I8" s="138" t="n">
        <v>0.333</v>
      </c>
      <c r="J8" s="138" t="n">
        <v>0.444</v>
      </c>
      <c r="K8" s="138" t="n">
        <v>0</v>
      </c>
      <c r="L8" s="138" t="n">
        <v>0.95</v>
      </c>
      <c r="M8" s="138" t="n">
        <v>1.25</v>
      </c>
      <c r="N8" s="138" t="n">
        <v>1.45</v>
      </c>
      <c r="O8" s="139" t="n">
        <v>0</v>
      </c>
      <c r="P8" s="139" t="n">
        <v>0.07000000000000001</v>
      </c>
      <c r="Q8" s="139" t="n">
        <v>0.33</v>
      </c>
      <c r="R8" s="139" t="n">
        <v>1.1</v>
      </c>
      <c r="S8" s="139" t="n">
        <v>0</v>
      </c>
      <c r="T8" s="128" t="inlineStr">
        <is>
          <t>Yamadanishiki</t>
        </is>
      </c>
      <c r="U8" s="38" t="n">
        <v>35</v>
      </c>
      <c r="X8" t="inlineStr">
        <is>
          <t>Lot A</t>
        </is>
      </c>
      <c r="Y8" t="inlineStr">
        <is>
          <t>Lot A</t>
        </is>
      </c>
      <c r="Z8" t="inlineStr">
        <is>
          <t>Lot A</t>
        </is>
      </c>
      <c r="AA8" t="inlineStr">
        <is>
          <t>Lot A</t>
        </is>
      </c>
      <c r="AB8" t="inlineStr">
        <is>
          <t>Lot A</t>
        </is>
      </c>
      <c r="AC8" t="inlineStr">
        <is>
          <t>Lot A</t>
        </is>
      </c>
      <c r="AD8" t="inlineStr">
        <is>
          <t>Lot A</t>
        </is>
      </c>
    </row>
    <row r="9" ht="18" customHeight="1">
      <c r="A9" s="137" t="inlineStr">
        <is>
          <t>Junmai_Daiginjo</t>
        </is>
      </c>
      <c r="B9" s="138" t="n">
        <v>0.22</v>
      </c>
      <c r="C9" s="138" t="n">
        <v>1.3</v>
      </c>
      <c r="D9" s="138" t="n">
        <v>0.1667</v>
      </c>
      <c r="E9" s="138" t="n">
        <v>0.3333</v>
      </c>
      <c r="F9" s="138" t="n">
        <v>0.5</v>
      </c>
      <c r="G9" s="138" t="n">
        <v>0</v>
      </c>
      <c r="H9" s="138" t="n">
        <v>0.222</v>
      </c>
      <c r="I9" s="138" t="n">
        <v>0.333</v>
      </c>
      <c r="J9" s="138" t="n">
        <v>0.444</v>
      </c>
      <c r="K9" s="138" t="n">
        <v>0</v>
      </c>
      <c r="L9" s="138" t="n">
        <v>0.95</v>
      </c>
      <c r="M9" s="138" t="n">
        <v>1.25</v>
      </c>
      <c r="N9" s="138" t="n">
        <v>1.45</v>
      </c>
      <c r="O9" s="139" t="n">
        <v>0</v>
      </c>
      <c r="P9" s="139" t="n">
        <v>0.07000000000000001</v>
      </c>
      <c r="Q9" s="139" t="n">
        <v>0.33</v>
      </c>
      <c r="R9" s="139" t="n">
        <v>1.1</v>
      </c>
      <c r="S9" s="139" t="n">
        <v>0</v>
      </c>
      <c r="T9" s="128" t="inlineStr">
        <is>
          <t>Yamadanishiki</t>
        </is>
      </c>
      <c r="U9" s="38" t="n">
        <v>40</v>
      </c>
      <c r="X9" t="inlineStr">
        <is>
          <t>Lot A</t>
        </is>
      </c>
      <c r="Y9" t="inlineStr">
        <is>
          <t>Lot A</t>
        </is>
      </c>
      <c r="Z9" t="inlineStr">
        <is>
          <t>Lot A</t>
        </is>
      </c>
      <c r="AA9" t="inlineStr">
        <is>
          <t>Lot A</t>
        </is>
      </c>
      <c r="AB9" t="inlineStr">
        <is>
          <t>Lot A</t>
        </is>
      </c>
      <c r="AC9" t="inlineStr">
        <is>
          <t>Lot A</t>
        </is>
      </c>
      <c r="AD9" t="inlineStr">
        <is>
          <t>Lot A</t>
        </is>
      </c>
    </row>
    <row r="10" ht="18" customHeight="1">
      <c r="A10" s="137" t="inlineStr">
        <is>
          <t>Honjozo</t>
        </is>
      </c>
      <c r="B10" s="138" t="n">
        <v>0.22</v>
      </c>
      <c r="C10" s="138" t="n">
        <v>1.3</v>
      </c>
      <c r="D10" s="138" t="n">
        <v>0.1667</v>
      </c>
      <c r="E10" s="138" t="n">
        <v>0.3333</v>
      </c>
      <c r="F10" s="138" t="n">
        <v>0.5</v>
      </c>
      <c r="G10" s="138" t="n">
        <v>0</v>
      </c>
      <c r="H10" s="138" t="n">
        <v>0.222</v>
      </c>
      <c r="I10" s="138" t="n">
        <v>0.333</v>
      </c>
      <c r="J10" s="138" t="n">
        <v>0.444</v>
      </c>
      <c r="K10" s="138" t="n">
        <v>0</v>
      </c>
      <c r="L10" s="138" t="n">
        <v>0.95</v>
      </c>
      <c r="M10" s="138" t="n">
        <v>1.25</v>
      </c>
      <c r="N10" s="138" t="n">
        <v>1.45</v>
      </c>
      <c r="O10" s="139" t="n">
        <v>0</v>
      </c>
      <c r="P10" s="139" t="n">
        <v>0.07000000000000001</v>
      </c>
      <c r="Q10" s="139" t="n">
        <v>0.33</v>
      </c>
      <c r="R10" s="139" t="n">
        <v>1.1</v>
      </c>
      <c r="S10" s="139" t="n">
        <v>0</v>
      </c>
      <c r="T10" s="128" t="inlineStr">
        <is>
          <t>Gohyakumangoku</t>
        </is>
      </c>
      <c r="U10" s="38" t="n">
        <v>70</v>
      </c>
      <c r="X10" t="inlineStr">
        <is>
          <t>Lot A</t>
        </is>
      </c>
      <c r="Y10" t="inlineStr">
        <is>
          <t>Lot A</t>
        </is>
      </c>
      <c r="Z10" t="inlineStr">
        <is>
          <t>Lot A</t>
        </is>
      </c>
      <c r="AA10" t="inlineStr">
        <is>
          <t>Lot A</t>
        </is>
      </c>
      <c r="AB10" t="inlineStr">
        <is>
          <t>Lot A</t>
        </is>
      </c>
      <c r="AC10" t="inlineStr">
        <is>
          <t>Lot A</t>
        </is>
      </c>
      <c r="AD10" t="inlineStr">
        <is>
          <t>Lot A</t>
        </is>
      </c>
    </row>
    <row r="11" ht="18" customHeight="1">
      <c r="A11" s="137" t="inlineStr">
        <is>
          <t>Gauntner_Standard</t>
        </is>
      </c>
      <c r="B11" s="138" t="n">
        <v>0.229</v>
      </c>
      <c r="C11" s="138" t="n">
        <v>1.22</v>
      </c>
      <c r="D11" s="138" t="n">
        <v>0.1497</v>
      </c>
      <c r="E11" s="138" t="n">
        <v>0.2941</v>
      </c>
      <c r="F11" s="138" t="n">
        <v>0.4706</v>
      </c>
      <c r="G11" s="138" t="n">
        <v>0</v>
      </c>
      <c r="H11" s="138" t="n">
        <v>0.222</v>
      </c>
      <c r="I11" s="138" t="n">
        <v>0.333</v>
      </c>
      <c r="J11" s="138" t="n">
        <v>0.444</v>
      </c>
      <c r="K11" s="138" t="n">
        <v>0</v>
      </c>
      <c r="L11" s="138" t="n">
        <v>0.9286</v>
      </c>
      <c r="M11" s="138" t="n">
        <v>1.2</v>
      </c>
      <c r="N11" s="138" t="n">
        <v>1.4318</v>
      </c>
      <c r="O11" s="139" t="n">
        <v>0</v>
      </c>
      <c r="P11" s="139" t="n">
        <v>0.065</v>
      </c>
      <c r="Q11" s="139" t="n">
        <v>0.3077</v>
      </c>
      <c r="R11" s="139" t="n">
        <v>1.0769</v>
      </c>
      <c r="S11" s="139" t="n">
        <v>0</v>
      </c>
      <c r="T11" s="128" t="inlineStr">
        <is>
          <t>Generic</t>
        </is>
      </c>
      <c r="U11" s="38" t="n">
        <v>70</v>
      </c>
      <c r="X11" t="inlineStr">
        <is>
          <t>Lot A</t>
        </is>
      </c>
      <c r="Y11" t="inlineStr">
        <is>
          <t>Lot A</t>
        </is>
      </c>
      <c r="Z11" t="inlineStr">
        <is>
          <t>Lot A</t>
        </is>
      </c>
      <c r="AA11" t="inlineStr">
        <is>
          <t>Lot A</t>
        </is>
      </c>
      <c r="AB11" t="inlineStr">
        <is>
          <t>Lot A</t>
        </is>
      </c>
      <c r="AC11" t="inlineStr">
        <is>
          <t>Lot A</t>
        </is>
      </c>
      <c r="AD11" t="inlineStr">
        <is>
          <t>Lot A</t>
        </is>
      </c>
    </row>
    <row r="12" ht="18" customHeight="1">
      <c r="A12" s="137" t="inlineStr">
        <is>
          <t>Nihonshu_2300</t>
        </is>
      </c>
      <c r="B12" s="138" t="n">
        <v>0.2335</v>
      </c>
      <c r="C12" s="138" t="n">
        <v>1.3</v>
      </c>
      <c r="D12" s="138" t="n">
        <v>0.1534</v>
      </c>
      <c r="E12" s="138" t="n">
        <v>0.2835</v>
      </c>
      <c r="F12" s="138" t="n">
        <v>0.4831</v>
      </c>
      <c r="G12" s="138" t="n">
        <v>0</v>
      </c>
      <c r="H12" s="138" t="n">
        <v>0.21</v>
      </c>
      <c r="I12" s="138" t="n">
        <v>0.26</v>
      </c>
      <c r="J12" s="138" t="n">
        <v>0.53</v>
      </c>
      <c r="K12" s="138" t="n">
        <v>0</v>
      </c>
      <c r="L12" s="138" t="n">
        <v>0.9547</v>
      </c>
      <c r="M12" s="138" t="n">
        <v>1.1764</v>
      </c>
      <c r="N12" s="138" t="n">
        <v>1.5171</v>
      </c>
      <c r="O12" s="139" t="n">
        <v>0</v>
      </c>
      <c r="P12" s="139" t="n">
        <v>0.08</v>
      </c>
      <c r="Q12" s="139" t="n">
        <v>0.3315</v>
      </c>
      <c r="R12" s="139" t="n">
        <v>1.0815</v>
      </c>
      <c r="S12" s="139" t="n">
        <v>0</v>
      </c>
      <c r="T12" s="128" t="inlineStr">
        <is>
          <t>Generic</t>
        </is>
      </c>
      <c r="U12" s="38" t="n">
        <v>70</v>
      </c>
      <c r="X12" t="inlineStr">
        <is>
          <t>Lot A</t>
        </is>
      </c>
      <c r="Y12" t="inlineStr">
        <is>
          <t>Lot A</t>
        </is>
      </c>
      <c r="Z12" t="inlineStr">
        <is>
          <t>Lot A</t>
        </is>
      </c>
      <c r="AA12" t="inlineStr">
        <is>
          <t>Lot A</t>
        </is>
      </c>
      <c r="AB12" t="inlineStr">
        <is>
          <t>Lot A</t>
        </is>
      </c>
      <c r="AC12" t="inlineStr">
        <is>
          <t>Lot A</t>
        </is>
      </c>
      <c r="AD12" t="inlineStr">
        <is>
          <t>Lot A</t>
        </is>
      </c>
    </row>
    <row r="13" ht="18" customHeight="1">
      <c r="A13" s="137" t="inlineStr">
        <is>
          <t>Textbook</t>
        </is>
      </c>
      <c r="B13" s="138" t="n">
        <v>0.211</v>
      </c>
      <c r="C13" s="138" t="n">
        <v>1.286</v>
      </c>
      <c r="D13" s="138" t="n">
        <v>0.1667</v>
      </c>
      <c r="E13" s="138" t="n">
        <v>0.3333</v>
      </c>
      <c r="F13" s="138" t="n">
        <v>0.5</v>
      </c>
      <c r="G13" s="138" t="n">
        <v>0</v>
      </c>
      <c r="H13" s="138" t="n">
        <v>0.222</v>
      </c>
      <c r="I13" s="138" t="n">
        <v>0.333</v>
      </c>
      <c r="J13" s="138" t="n">
        <v>0.444</v>
      </c>
      <c r="K13" s="138" t="n">
        <v>0</v>
      </c>
      <c r="L13" s="138" t="n">
        <v>0.95</v>
      </c>
      <c r="M13" s="138" t="n">
        <v>1.25</v>
      </c>
      <c r="N13" s="138" t="n">
        <v>1.45</v>
      </c>
      <c r="O13" s="139" t="n">
        <v>0</v>
      </c>
      <c r="P13" s="139" t="n">
        <v>0.07000000000000001</v>
      </c>
      <c r="Q13" s="139" t="n">
        <v>0.33</v>
      </c>
      <c r="R13" s="139" t="n">
        <v>1.1</v>
      </c>
      <c r="S13" s="139" t="n">
        <v>0</v>
      </c>
      <c r="T13" s="128" t="inlineStr">
        <is>
          <t>Generic</t>
        </is>
      </c>
      <c r="U13" s="38" t="n">
        <v>70</v>
      </c>
      <c r="X13" t="inlineStr">
        <is>
          <t>Lot A</t>
        </is>
      </c>
      <c r="Y13" t="inlineStr">
        <is>
          <t>Lot A</t>
        </is>
      </c>
      <c r="Z13" t="inlineStr">
        <is>
          <t>Lot A</t>
        </is>
      </c>
      <c r="AA13" t="inlineStr">
        <is>
          <t>Lot A</t>
        </is>
      </c>
      <c r="AB13" t="inlineStr">
        <is>
          <t>Lot A</t>
        </is>
      </c>
      <c r="AC13" t="inlineStr">
        <is>
          <t>Lot A</t>
        </is>
      </c>
      <c r="AD13" t="inlineStr">
        <is>
          <t>Lot A</t>
        </is>
      </c>
    </row>
    <row r="14" ht="18" customHeight="1">
      <c r="A14" s="137" t="inlineStr">
        <is>
          <t>Sokujo</t>
        </is>
      </c>
      <c r="B14" s="138" t="n">
        <v>0.2</v>
      </c>
      <c r="C14" s="138" t="n">
        <v>1.3</v>
      </c>
      <c r="D14" s="138" t="n">
        <v>0.1667</v>
      </c>
      <c r="E14" s="138" t="n">
        <v>0.3333</v>
      </c>
      <c r="F14" s="138" t="n">
        <v>0.5</v>
      </c>
      <c r="G14" s="138" t="n">
        <v>0</v>
      </c>
      <c r="H14" s="138" t="n">
        <v>0.222</v>
      </c>
      <c r="I14" s="138" t="n">
        <v>0.333</v>
      </c>
      <c r="J14" s="138" t="n">
        <v>0.444</v>
      </c>
      <c r="K14" s="138" t="n">
        <v>0</v>
      </c>
      <c r="L14" s="138" t="n">
        <v>0.95</v>
      </c>
      <c r="M14" s="138" t="n">
        <v>1.25</v>
      </c>
      <c r="N14" s="138" t="n">
        <v>1.45</v>
      </c>
      <c r="O14" s="139" t="n">
        <v>0</v>
      </c>
      <c r="P14" s="139" t="n">
        <v>0.07000000000000001</v>
      </c>
      <c r="Q14" s="139" t="n">
        <v>0.33</v>
      </c>
      <c r="R14" s="139" t="n">
        <v>1.1</v>
      </c>
      <c r="S14" s="139" t="n">
        <v>0</v>
      </c>
      <c r="T14" s="128" t="inlineStr">
        <is>
          <t>Generic</t>
        </is>
      </c>
      <c r="U14" s="38" t="n">
        <v>70</v>
      </c>
      <c r="X14" t="inlineStr">
        <is>
          <t>Lot A</t>
        </is>
      </c>
      <c r="Y14" t="inlineStr">
        <is>
          <t>Lot A</t>
        </is>
      </c>
      <c r="Z14" t="inlineStr">
        <is>
          <t>Lot A</t>
        </is>
      </c>
      <c r="AA14" t="inlineStr">
        <is>
          <t>Lot A</t>
        </is>
      </c>
      <c r="AB14" t="inlineStr">
        <is>
          <t>Lot A</t>
        </is>
      </c>
      <c r="AC14" t="inlineStr">
        <is>
          <t>Lot A</t>
        </is>
      </c>
      <c r="AD14" t="inlineStr">
        <is>
          <t>Lot A</t>
        </is>
      </c>
    </row>
    <row r="15" ht="18" customHeight="1">
      <c r="A15" s="137" t="inlineStr">
        <is>
          <t>Kimoto</t>
        </is>
      </c>
      <c r="B15" s="138" t="n">
        <v>0.23</v>
      </c>
      <c r="C15" s="138" t="n">
        <v>1.3</v>
      </c>
      <c r="D15" s="138" t="n">
        <v>0.1667</v>
      </c>
      <c r="E15" s="138" t="n">
        <v>0.3333</v>
      </c>
      <c r="F15" s="138" t="n">
        <v>0.5</v>
      </c>
      <c r="G15" s="138" t="n">
        <v>0</v>
      </c>
      <c r="H15" s="138" t="n">
        <v>0.222</v>
      </c>
      <c r="I15" s="138" t="n">
        <v>0.333</v>
      </c>
      <c r="J15" s="138" t="n">
        <v>0.444</v>
      </c>
      <c r="K15" s="138" t="n">
        <v>0</v>
      </c>
      <c r="L15" s="138" t="n">
        <v>0.95</v>
      </c>
      <c r="M15" s="138" t="n">
        <v>1.25</v>
      </c>
      <c r="N15" s="138" t="n">
        <v>1.45</v>
      </c>
      <c r="O15" s="139" t="n">
        <v>0</v>
      </c>
      <c r="P15" s="139" t="n">
        <v>0.08</v>
      </c>
      <c r="Q15" s="139" t="n">
        <v>0.35</v>
      </c>
      <c r="R15" s="139" t="n">
        <v>1.1</v>
      </c>
      <c r="S15" s="139" t="n">
        <v>0</v>
      </c>
      <c r="T15" s="128" t="inlineStr">
        <is>
          <t>Yamadanishiki</t>
        </is>
      </c>
      <c r="U15" s="38" t="n">
        <v>70</v>
      </c>
      <c r="X15" t="inlineStr">
        <is>
          <t>Lot A</t>
        </is>
      </c>
      <c r="Y15" t="inlineStr">
        <is>
          <t>Lot A</t>
        </is>
      </c>
      <c r="Z15" t="inlineStr">
        <is>
          <t>Lot A</t>
        </is>
      </c>
      <c r="AA15" t="inlineStr">
        <is>
          <t>Lot A</t>
        </is>
      </c>
      <c r="AB15" t="inlineStr">
        <is>
          <t>Lot A</t>
        </is>
      </c>
      <c r="AC15" t="inlineStr">
        <is>
          <t>Lot A</t>
        </is>
      </c>
      <c r="AD15" t="inlineStr">
        <is>
          <t>Lot A</t>
        </is>
      </c>
    </row>
    <row r="16" ht="18" customHeight="1">
      <c r="A16" s="137" t="inlineStr">
        <is>
          <t>Yamahai</t>
        </is>
      </c>
      <c r="B16" s="138" t="n">
        <v>0.23</v>
      </c>
      <c r="C16" s="138" t="n">
        <v>1.3</v>
      </c>
      <c r="D16" s="138" t="n">
        <v>0.1667</v>
      </c>
      <c r="E16" s="138" t="n">
        <v>0.3333</v>
      </c>
      <c r="F16" s="138" t="n">
        <v>0.5</v>
      </c>
      <c r="G16" s="138" t="n">
        <v>0</v>
      </c>
      <c r="H16" s="138" t="n">
        <v>0.222</v>
      </c>
      <c r="I16" s="138" t="n">
        <v>0.333</v>
      </c>
      <c r="J16" s="138" t="n">
        <v>0.444</v>
      </c>
      <c r="K16" s="138" t="n">
        <v>0</v>
      </c>
      <c r="L16" s="138" t="n">
        <v>0.95</v>
      </c>
      <c r="M16" s="138" t="n">
        <v>1.25</v>
      </c>
      <c r="N16" s="138" t="n">
        <v>1.45</v>
      </c>
      <c r="O16" s="139" t="n">
        <v>0</v>
      </c>
      <c r="P16" s="139" t="n">
        <v>0.08</v>
      </c>
      <c r="Q16" s="139" t="n">
        <v>0.35</v>
      </c>
      <c r="R16" s="139" t="n">
        <v>1.1</v>
      </c>
      <c r="S16" s="139" t="n">
        <v>0</v>
      </c>
      <c r="T16" s="128" t="inlineStr">
        <is>
          <t>Yamadanishiki</t>
        </is>
      </c>
      <c r="U16" s="38" t="n">
        <v>70</v>
      </c>
      <c r="X16" t="inlineStr">
        <is>
          <t>Lot A</t>
        </is>
      </c>
      <c r="Y16" t="inlineStr">
        <is>
          <t>Lot A</t>
        </is>
      </c>
      <c r="Z16" t="inlineStr">
        <is>
          <t>Lot A</t>
        </is>
      </c>
      <c r="AA16" t="inlineStr">
        <is>
          <t>Lot A</t>
        </is>
      </c>
      <c r="AB16" t="inlineStr">
        <is>
          <t>Lot A</t>
        </is>
      </c>
      <c r="AC16" t="inlineStr">
        <is>
          <t>Lot A</t>
        </is>
      </c>
      <c r="AD16" t="inlineStr">
        <is>
          <t>Lot A</t>
        </is>
      </c>
    </row>
    <row r="17" ht="18" customHeight="1">
      <c r="A17" s="137" t="inlineStr">
        <is>
          <t>Nigori</t>
        </is>
      </c>
      <c r="B17" s="138" t="n">
        <v>0.2</v>
      </c>
      <c r="C17" s="138" t="n">
        <v>1.3</v>
      </c>
      <c r="D17" s="138" t="n">
        <v>0.1667</v>
      </c>
      <c r="E17" s="138" t="n">
        <v>0.3333</v>
      </c>
      <c r="F17" s="138" t="n">
        <v>0.5</v>
      </c>
      <c r="G17" s="138" t="n">
        <v>0</v>
      </c>
      <c r="H17" s="138" t="n">
        <v>0.222</v>
      </c>
      <c r="I17" s="138" t="n">
        <v>0.333</v>
      </c>
      <c r="J17" s="138" t="n">
        <v>0.444</v>
      </c>
      <c r="K17" s="138" t="n">
        <v>0</v>
      </c>
      <c r="L17" s="138" t="n">
        <v>0.95</v>
      </c>
      <c r="M17" s="138" t="n">
        <v>1.25</v>
      </c>
      <c r="N17" s="138" t="n">
        <v>1.45</v>
      </c>
      <c r="O17" s="139" t="n">
        <v>0</v>
      </c>
      <c r="P17" s="139" t="n">
        <v>0.07000000000000001</v>
      </c>
      <c r="Q17" s="139" t="n">
        <v>0.33</v>
      </c>
      <c r="R17" s="139" t="n">
        <v>1.1</v>
      </c>
      <c r="S17" s="139" t="n">
        <v>0</v>
      </c>
      <c r="T17" s="128" t="inlineStr">
        <is>
          <t>Generic</t>
        </is>
      </c>
      <c r="U17" s="38" t="n">
        <v>70</v>
      </c>
      <c r="X17" t="inlineStr">
        <is>
          <t>Lot A</t>
        </is>
      </c>
      <c r="Y17" t="inlineStr">
        <is>
          <t>Lot A</t>
        </is>
      </c>
      <c r="Z17" t="inlineStr">
        <is>
          <t>Lot A</t>
        </is>
      </c>
      <c r="AA17" t="inlineStr">
        <is>
          <t>Lot A</t>
        </is>
      </c>
      <c r="AB17" t="inlineStr">
        <is>
          <t>Lot A</t>
        </is>
      </c>
      <c r="AC17" t="inlineStr">
        <is>
          <t>Lot A</t>
        </is>
      </c>
      <c r="AD17" t="inlineStr">
        <is>
          <t>Lot A</t>
        </is>
      </c>
    </row>
    <row r="18" ht="18" customHeight="1">
      <c r="A18" s="137" t="inlineStr">
        <is>
          <t>Genshu</t>
        </is>
      </c>
      <c r="B18" s="138" t="n">
        <v>0.22</v>
      </c>
      <c r="C18" s="138" t="n">
        <v>1.3</v>
      </c>
      <c r="D18" s="138" t="n">
        <v>0.1667</v>
      </c>
      <c r="E18" s="138" t="n">
        <v>0.3333</v>
      </c>
      <c r="F18" s="138" t="n">
        <v>0.5</v>
      </c>
      <c r="G18" s="138" t="n">
        <v>0</v>
      </c>
      <c r="H18" s="138" t="n">
        <v>0.222</v>
      </c>
      <c r="I18" s="138" t="n">
        <v>0.333</v>
      </c>
      <c r="J18" s="138" t="n">
        <v>0.444</v>
      </c>
      <c r="K18" s="138" t="n">
        <v>0</v>
      </c>
      <c r="L18" s="138" t="n">
        <v>0.95</v>
      </c>
      <c r="M18" s="138" t="n">
        <v>1.25</v>
      </c>
      <c r="N18" s="138" t="n">
        <v>1.45</v>
      </c>
      <c r="O18" s="139" t="n">
        <v>0</v>
      </c>
      <c r="P18" s="139" t="n">
        <v>0.07000000000000001</v>
      </c>
      <c r="Q18" s="139" t="n">
        <v>0.33</v>
      </c>
      <c r="R18" s="139" t="n">
        <v>1.1</v>
      </c>
      <c r="S18" s="139" t="n">
        <v>0</v>
      </c>
      <c r="T18" s="128" t="inlineStr">
        <is>
          <t>Generic</t>
        </is>
      </c>
      <c r="U18" s="38" t="n">
        <v>70</v>
      </c>
      <c r="X18" t="inlineStr">
        <is>
          <t>Lot A</t>
        </is>
      </c>
      <c r="Y18" t="inlineStr">
        <is>
          <t>Lot A</t>
        </is>
      </c>
      <c r="Z18" t="inlineStr">
        <is>
          <t>Lot A</t>
        </is>
      </c>
      <c r="AA18" t="inlineStr">
        <is>
          <t>Lot A</t>
        </is>
      </c>
      <c r="AB18" t="inlineStr">
        <is>
          <t>Lot A</t>
        </is>
      </c>
      <c r="AC18" t="inlineStr">
        <is>
          <t>Lot A</t>
        </is>
      </c>
      <c r="AD18" t="inlineStr">
        <is>
          <t>Lot A</t>
        </is>
      </c>
    </row>
    <row r="19" ht="18" customHeight="1">
      <c r="A19" s="137" t="inlineStr">
        <is>
          <t>Nama</t>
        </is>
      </c>
      <c r="B19" s="138" t="n">
        <v>0.22</v>
      </c>
      <c r="C19" s="138" t="n">
        <v>1.3</v>
      </c>
      <c r="D19" s="138" t="n">
        <v>0.1667</v>
      </c>
      <c r="E19" s="138" t="n">
        <v>0.3333</v>
      </c>
      <c r="F19" s="138" t="n">
        <v>0.5</v>
      </c>
      <c r="G19" s="138" t="n">
        <v>0</v>
      </c>
      <c r="H19" s="138" t="n">
        <v>0.222</v>
      </c>
      <c r="I19" s="138" t="n">
        <v>0.333</v>
      </c>
      <c r="J19" s="138" t="n">
        <v>0.444</v>
      </c>
      <c r="K19" s="138" t="n">
        <v>0</v>
      </c>
      <c r="L19" s="138" t="n">
        <v>0.95</v>
      </c>
      <c r="M19" s="138" t="n">
        <v>1.25</v>
      </c>
      <c r="N19" s="138" t="n">
        <v>1.45</v>
      </c>
      <c r="O19" s="139" t="n">
        <v>0</v>
      </c>
      <c r="P19" s="139" t="n">
        <v>0.07000000000000001</v>
      </c>
      <c r="Q19" s="139" t="n">
        <v>0.33</v>
      </c>
      <c r="R19" s="139" t="n">
        <v>1.1</v>
      </c>
      <c r="S19" s="139" t="n">
        <v>0</v>
      </c>
      <c r="T19" s="128" t="inlineStr">
        <is>
          <t>Generic</t>
        </is>
      </c>
      <c r="U19" s="38" t="n">
        <v>70</v>
      </c>
      <c r="X19" t="inlineStr">
        <is>
          <t>Lot A</t>
        </is>
      </c>
      <c r="Y19" t="inlineStr">
        <is>
          <t>Lot A</t>
        </is>
      </c>
      <c r="Z19" t="inlineStr">
        <is>
          <t>Lot A</t>
        </is>
      </c>
      <c r="AA19" t="inlineStr">
        <is>
          <t>Lot A</t>
        </is>
      </c>
      <c r="AB19" t="inlineStr">
        <is>
          <t>Lot A</t>
        </is>
      </c>
      <c r="AC19" t="inlineStr">
        <is>
          <t>Lot A</t>
        </is>
      </c>
      <c r="AD19" t="inlineStr">
        <is>
          <t>Lot A</t>
        </is>
      </c>
    </row>
    <row r="20" ht="18" customHeight="1">
      <c r="A20" s="137" t="inlineStr">
        <is>
          <t>Sparkling</t>
        </is>
      </c>
      <c r="B20" s="138" t="n">
        <v>0.2</v>
      </c>
      <c r="C20" s="138" t="n">
        <v>1.3</v>
      </c>
      <c r="D20" s="138" t="n">
        <v>0.1667</v>
      </c>
      <c r="E20" s="138" t="n">
        <v>0.3333</v>
      </c>
      <c r="F20" s="138" t="n">
        <v>0.5</v>
      </c>
      <c r="G20" s="138" t="n">
        <v>0</v>
      </c>
      <c r="H20" s="138" t="n">
        <v>0.222</v>
      </c>
      <c r="I20" s="138" t="n">
        <v>0.333</v>
      </c>
      <c r="J20" s="138" t="n">
        <v>0.444</v>
      </c>
      <c r="K20" s="138" t="n">
        <v>0</v>
      </c>
      <c r="L20" s="138" t="n">
        <v>0.95</v>
      </c>
      <c r="M20" s="138" t="n">
        <v>1.25</v>
      </c>
      <c r="N20" s="138" t="n">
        <v>1.45</v>
      </c>
      <c r="O20" s="139" t="n">
        <v>0</v>
      </c>
      <c r="P20" s="139" t="n">
        <v>0.07000000000000001</v>
      </c>
      <c r="Q20" s="139" t="n">
        <v>0.33</v>
      </c>
      <c r="R20" s="139" t="n">
        <v>1.1</v>
      </c>
      <c r="S20" s="139" t="n">
        <v>0</v>
      </c>
      <c r="T20" s="128" t="inlineStr">
        <is>
          <t>Generic</t>
        </is>
      </c>
      <c r="U20" s="38" t="n">
        <v>70</v>
      </c>
      <c r="X20" t="inlineStr">
        <is>
          <t>Lot A</t>
        </is>
      </c>
      <c r="Y20" t="inlineStr">
        <is>
          <t>Lot A</t>
        </is>
      </c>
      <c r="Z20" t="inlineStr">
        <is>
          <t>Lot A</t>
        </is>
      </c>
      <c r="AA20" t="inlineStr">
        <is>
          <t>Lot A</t>
        </is>
      </c>
      <c r="AB20" t="inlineStr">
        <is>
          <t>Lot A</t>
        </is>
      </c>
      <c r="AC20" t="inlineStr">
        <is>
          <t>Lot A</t>
        </is>
      </c>
      <c r="AD20" t="inlineStr">
        <is>
          <t>Lot A</t>
        </is>
      </c>
    </row>
    <row r="21" ht="18" customHeight="1">
      <c r="A21" s="137" t="inlineStr">
        <is>
          <t>Rich_Body</t>
        </is>
      </c>
      <c r="B21" s="138" t="n">
        <v>0.22</v>
      </c>
      <c r="C21" s="138" t="n">
        <v>1.1</v>
      </c>
      <c r="D21" s="138" t="n">
        <v>0.1667</v>
      </c>
      <c r="E21" s="138" t="n">
        <v>0.3333</v>
      </c>
      <c r="F21" s="138" t="n">
        <v>0.5</v>
      </c>
      <c r="G21" s="138" t="n">
        <v>0</v>
      </c>
      <c r="H21" s="138" t="n">
        <v>0.222</v>
      </c>
      <c r="I21" s="138" t="n">
        <v>0.333</v>
      </c>
      <c r="J21" s="138" t="n">
        <v>0.444</v>
      </c>
      <c r="K21" s="138" t="n">
        <v>0</v>
      </c>
      <c r="L21" s="138" t="n">
        <v>0.75</v>
      </c>
      <c r="M21" s="138" t="n">
        <v>1</v>
      </c>
      <c r="N21" s="138" t="n">
        <v>1.25</v>
      </c>
      <c r="O21" s="139" t="n">
        <v>0</v>
      </c>
      <c r="P21" s="139" t="n">
        <v>0.07000000000000001</v>
      </c>
      <c r="Q21" s="139" t="n">
        <v>0.33</v>
      </c>
      <c r="R21" s="139" t="n">
        <v>0.9</v>
      </c>
      <c r="S21" s="139" t="n">
        <v>0</v>
      </c>
      <c r="T21" s="128" t="inlineStr">
        <is>
          <t>Generic</t>
        </is>
      </c>
      <c r="U21" s="38" t="n">
        <v>70</v>
      </c>
      <c r="X21" t="inlineStr">
        <is>
          <t>Lot A</t>
        </is>
      </c>
      <c r="Y21" t="inlineStr">
        <is>
          <t>Lot A</t>
        </is>
      </c>
      <c r="Z21" t="inlineStr">
        <is>
          <t>Lot A</t>
        </is>
      </c>
      <c r="AA21" t="inlineStr">
        <is>
          <t>Lot A</t>
        </is>
      </c>
      <c r="AB21" t="inlineStr">
        <is>
          <t>Lot A</t>
        </is>
      </c>
      <c r="AC21" t="inlineStr">
        <is>
          <t>Lot A</t>
        </is>
      </c>
      <c r="AD21" t="inlineStr">
        <is>
          <t>Lot A</t>
        </is>
      </c>
    </row>
    <row r="22" ht="18" customHeight="1">
      <c r="A22" s="137" t="inlineStr">
        <is>
          <t>Light_Body</t>
        </is>
      </c>
      <c r="B22" s="138" t="n">
        <v>0.2</v>
      </c>
      <c r="C22" s="138" t="n">
        <v>1.5</v>
      </c>
      <c r="D22" s="138" t="n">
        <v>0.1667</v>
      </c>
      <c r="E22" s="138" t="n">
        <v>0.3333</v>
      </c>
      <c r="F22" s="138" t="n">
        <v>0.5</v>
      </c>
      <c r="G22" s="138" t="n">
        <v>0</v>
      </c>
      <c r="H22" s="138" t="n">
        <v>0.222</v>
      </c>
      <c r="I22" s="138" t="n">
        <v>0.333</v>
      </c>
      <c r="J22" s="138" t="n">
        <v>0.444</v>
      </c>
      <c r="K22" s="138" t="n">
        <v>0</v>
      </c>
      <c r="L22" s="138" t="n">
        <v>1.05</v>
      </c>
      <c r="M22" s="138" t="n">
        <v>1.35</v>
      </c>
      <c r="N22" s="138" t="n">
        <v>1.6</v>
      </c>
      <c r="O22" s="139" t="n">
        <v>0</v>
      </c>
      <c r="P22" s="139" t="n">
        <v>0.07000000000000001</v>
      </c>
      <c r="Q22" s="139" t="n">
        <v>0.33</v>
      </c>
      <c r="R22" s="139" t="n">
        <v>1.2</v>
      </c>
      <c r="S22" s="139" t="n">
        <v>0</v>
      </c>
      <c r="T22" s="128" t="inlineStr">
        <is>
          <t>Generic</t>
        </is>
      </c>
      <c r="U22" s="38" t="n">
        <v>70</v>
      </c>
      <c r="X22" t="inlineStr">
        <is>
          <t>Lot A</t>
        </is>
      </c>
      <c r="Y22" t="inlineStr">
        <is>
          <t>Lot A</t>
        </is>
      </c>
      <c r="Z22" t="inlineStr">
        <is>
          <t>Lot A</t>
        </is>
      </c>
      <c r="AA22" t="inlineStr">
        <is>
          <t>Lot A</t>
        </is>
      </c>
      <c r="AB22" t="inlineStr">
        <is>
          <t>Lot A</t>
        </is>
      </c>
      <c r="AC22" t="inlineStr">
        <is>
          <t>Lot A</t>
        </is>
      </c>
      <c r="AD22" t="inlineStr">
        <is>
          <t>Lot A</t>
        </is>
      </c>
    </row>
    <row r="23" ht="18" customHeight="1">
      <c r="A23" s="137" t="inlineStr">
        <is>
          <t>Homebrew_20pct</t>
        </is>
      </c>
      <c r="B23" s="138" t="n">
        <v>0.2</v>
      </c>
      <c r="C23" s="138" t="n">
        <v>1.5</v>
      </c>
      <c r="D23" s="138" t="n">
        <v>0</v>
      </c>
      <c r="E23" s="138" t="n">
        <v>0</v>
      </c>
      <c r="F23" s="138" t="n">
        <v>1</v>
      </c>
      <c r="G23" s="138" t="n">
        <v>0</v>
      </c>
      <c r="H23" s="138" t="n">
        <v>0.21</v>
      </c>
      <c r="I23" s="138" t="n">
        <v>0.26</v>
      </c>
      <c r="J23" s="138" t="n">
        <v>0.53</v>
      </c>
      <c r="K23" s="138" t="n">
        <v>0</v>
      </c>
      <c r="L23" s="138" t="n">
        <v>0</v>
      </c>
      <c r="M23" s="138" t="n">
        <v>0</v>
      </c>
      <c r="N23" s="138" t="n">
        <v>1.5</v>
      </c>
      <c r="O23" s="139" t="n">
        <v>0</v>
      </c>
      <c r="P23" s="139" t="n">
        <v>0</v>
      </c>
      <c r="Q23" s="139" t="n">
        <v>0</v>
      </c>
      <c r="R23" s="139" t="n">
        <v>0</v>
      </c>
      <c r="S23" s="139" t="n">
        <v>0</v>
      </c>
      <c r="T23" s="128" t="inlineStr">
        <is>
          <t>Generic</t>
        </is>
      </c>
      <c r="U23" s="38" t="n">
        <v>70</v>
      </c>
      <c r="X23" t="inlineStr">
        <is>
          <t>Lot A</t>
        </is>
      </c>
      <c r="Y23" t="inlineStr">
        <is>
          <t>Lot A</t>
        </is>
      </c>
      <c r="Z23" t="inlineStr">
        <is>
          <t>Lot A</t>
        </is>
      </c>
      <c r="AA23" t="inlineStr">
        <is>
          <t>Lot A</t>
        </is>
      </c>
      <c r="AB23" t="inlineStr">
        <is>
          <t>Lot A</t>
        </is>
      </c>
      <c r="AC23" t="inlineStr">
        <is>
          <t>Lot A</t>
        </is>
      </c>
      <c r="AD23" t="inlineStr">
        <is>
          <t>Lot A</t>
        </is>
      </c>
    </row>
    <row r="24" ht="18" customHeight="1">
      <c r="A24" s="137" t="inlineStr">
        <is>
          <t>Homebrew_25pct</t>
        </is>
      </c>
      <c r="B24" s="138" t="n">
        <v>0.25</v>
      </c>
      <c r="C24" s="138" t="n">
        <v>1.5</v>
      </c>
      <c r="D24" s="138" t="n">
        <v>0</v>
      </c>
      <c r="E24" s="138" t="n">
        <v>0</v>
      </c>
      <c r="F24" s="138" t="n">
        <v>1</v>
      </c>
      <c r="G24" s="138" t="n">
        <v>0</v>
      </c>
      <c r="H24" s="138" t="n">
        <v>0.21</v>
      </c>
      <c r="I24" s="138" t="n">
        <v>0.26</v>
      </c>
      <c r="J24" s="138" t="n">
        <v>0.53</v>
      </c>
      <c r="K24" s="138" t="n">
        <v>0</v>
      </c>
      <c r="L24" s="138" t="n">
        <v>0</v>
      </c>
      <c r="M24" s="138" t="n">
        <v>0</v>
      </c>
      <c r="N24" s="138" t="n">
        <v>1.5</v>
      </c>
      <c r="O24" s="139" t="n">
        <v>0</v>
      </c>
      <c r="P24" s="139" t="n">
        <v>0</v>
      </c>
      <c r="Q24" s="139" t="n">
        <v>0</v>
      </c>
      <c r="R24" s="139" t="n">
        <v>0</v>
      </c>
      <c r="S24" s="139" t="n">
        <v>0</v>
      </c>
      <c r="T24" s="128" t="inlineStr">
        <is>
          <t>Generic</t>
        </is>
      </c>
      <c r="U24" s="38" t="n">
        <v>70</v>
      </c>
      <c r="X24" t="inlineStr">
        <is>
          <t>Lot A</t>
        </is>
      </c>
      <c r="Y24" t="inlineStr">
        <is>
          <t>Lot A</t>
        </is>
      </c>
      <c r="Z24" t="inlineStr">
        <is>
          <t>Lot A</t>
        </is>
      </c>
      <c r="AA24" t="inlineStr">
        <is>
          <t>Lot A</t>
        </is>
      </c>
      <c r="AB24" t="inlineStr">
        <is>
          <t>Lot A</t>
        </is>
      </c>
      <c r="AC24" t="inlineStr">
        <is>
          <t>Lot A</t>
        </is>
      </c>
      <c r="AD24" t="inlineStr">
        <is>
          <t>Lot A</t>
        </is>
      </c>
    </row>
    <row r="25" ht="18" customHeight="1">
      <c r="A25" s="137" t="inlineStr">
        <is>
          <t>Homebrew_33pct</t>
        </is>
      </c>
      <c r="B25" s="138" t="n">
        <v>0.33</v>
      </c>
      <c r="C25" s="138" t="n">
        <v>1.5</v>
      </c>
      <c r="D25" s="138" t="n">
        <v>0</v>
      </c>
      <c r="E25" s="138" t="n">
        <v>0</v>
      </c>
      <c r="F25" s="138" t="n">
        <v>1</v>
      </c>
      <c r="G25" s="138" t="n">
        <v>0</v>
      </c>
      <c r="H25" s="138" t="n">
        <v>0.21</v>
      </c>
      <c r="I25" s="138" t="n">
        <v>0.26</v>
      </c>
      <c r="J25" s="138" t="n">
        <v>0.53</v>
      </c>
      <c r="K25" s="138" t="n">
        <v>0</v>
      </c>
      <c r="L25" s="138" t="n">
        <v>0</v>
      </c>
      <c r="M25" s="138" t="n">
        <v>0</v>
      </c>
      <c r="N25" s="138" t="n">
        <v>1.5</v>
      </c>
      <c r="O25" s="139" t="n">
        <v>0</v>
      </c>
      <c r="P25" s="139" t="n">
        <v>0</v>
      </c>
      <c r="Q25" s="139" t="n">
        <v>0</v>
      </c>
      <c r="R25" s="139" t="n">
        <v>0</v>
      </c>
      <c r="S25" s="139" t="n">
        <v>0</v>
      </c>
      <c r="T25" s="128" t="inlineStr">
        <is>
          <t>Generic</t>
        </is>
      </c>
      <c r="U25" s="38" t="n">
        <v>70</v>
      </c>
      <c r="X25" t="inlineStr">
        <is>
          <t>Lot A</t>
        </is>
      </c>
      <c r="Y25" t="inlineStr">
        <is>
          <t>Lot A</t>
        </is>
      </c>
      <c r="Z25" t="inlineStr">
        <is>
          <t>Lot A</t>
        </is>
      </c>
      <c r="AA25" t="inlineStr">
        <is>
          <t>Lot A</t>
        </is>
      </c>
      <c r="AB25" t="inlineStr">
        <is>
          <t>Lot A</t>
        </is>
      </c>
      <c r="AC25" t="inlineStr">
        <is>
          <t>Lot A</t>
        </is>
      </c>
      <c r="AD25" t="inlineStr">
        <is>
          <t>Lot A</t>
        </is>
      </c>
    </row>
    <row r="26" ht="18" customHeight="1">
      <c r="A26" s="137" t="inlineStr">
        <is>
          <t>Kijoshu</t>
        </is>
      </c>
      <c r="B26" s="138" t="n">
        <v>0.22</v>
      </c>
      <c r="C26" s="138" t="n">
        <v>1.3</v>
      </c>
      <c r="D26" s="138" t="n">
        <v>0.1667</v>
      </c>
      <c r="E26" s="138" t="n">
        <v>0.3333</v>
      </c>
      <c r="F26" s="138" t="n">
        <v>0.5</v>
      </c>
      <c r="G26" s="138" t="n">
        <v>0</v>
      </c>
      <c r="H26" s="138" t="n">
        <v>0.222</v>
      </c>
      <c r="I26" s="138" t="n">
        <v>0.333</v>
      </c>
      <c r="J26" s="138" t="n">
        <v>0.444</v>
      </c>
      <c r="K26" s="138" t="n">
        <v>0</v>
      </c>
      <c r="L26" s="138" t="n">
        <v>0.95</v>
      </c>
      <c r="M26" s="138" t="n">
        <v>1.25</v>
      </c>
      <c r="N26" s="138" t="n">
        <v>1.45</v>
      </c>
      <c r="O26" s="139" t="n">
        <v>0</v>
      </c>
      <c r="P26" s="139" t="n">
        <v>0.07000000000000001</v>
      </c>
      <c r="Q26" s="139" t="n">
        <v>0.33</v>
      </c>
      <c r="R26" s="139" t="n">
        <v>1.1</v>
      </c>
      <c r="S26" s="139" t="n">
        <v>0</v>
      </c>
      <c r="T26" s="128" t="inlineStr">
        <is>
          <t>Generic</t>
        </is>
      </c>
      <c r="U26" s="38" t="n">
        <v>70</v>
      </c>
      <c r="X26" t="inlineStr">
        <is>
          <t>Lot A</t>
        </is>
      </c>
      <c r="Y26" t="inlineStr">
        <is>
          <t>Lot A</t>
        </is>
      </c>
      <c r="Z26" t="inlineStr">
        <is>
          <t>Lot A</t>
        </is>
      </c>
      <c r="AA26" t="inlineStr">
        <is>
          <t>Lot A</t>
        </is>
      </c>
      <c r="AB26" t="inlineStr">
        <is>
          <t>Lot A</t>
        </is>
      </c>
      <c r="AC26" t="inlineStr">
        <is>
          <t>Lot A</t>
        </is>
      </c>
      <c r="AD26" t="inlineStr">
        <is>
          <t>Lot A</t>
        </is>
      </c>
    </row>
    <row r="27" ht="18" customHeight="1">
      <c r="A27" s="137" t="inlineStr">
        <is>
          <t>Low_ABV</t>
        </is>
      </c>
      <c r="B27" s="138" t="n">
        <v>0.2</v>
      </c>
      <c r="C27" s="138" t="n">
        <v>1.5</v>
      </c>
      <c r="D27" s="138" t="n">
        <v>0.1667</v>
      </c>
      <c r="E27" s="138" t="n">
        <v>0.3333</v>
      </c>
      <c r="F27" s="138" t="n">
        <v>0.5</v>
      </c>
      <c r="G27" s="138" t="n">
        <v>0</v>
      </c>
      <c r="H27" s="138" t="n">
        <v>0.222</v>
      </c>
      <c r="I27" s="138" t="n">
        <v>0.333</v>
      </c>
      <c r="J27" s="138" t="n">
        <v>0.444</v>
      </c>
      <c r="K27" s="138" t="n">
        <v>0</v>
      </c>
      <c r="L27" s="138" t="n">
        <v>1.05</v>
      </c>
      <c r="M27" s="138" t="n">
        <v>1.35</v>
      </c>
      <c r="N27" s="138" t="n">
        <v>1.6</v>
      </c>
      <c r="O27" s="139" t="n">
        <v>0</v>
      </c>
      <c r="P27" s="139" t="n">
        <v>0.07000000000000001</v>
      </c>
      <c r="Q27" s="139" t="n">
        <v>0.33</v>
      </c>
      <c r="R27" s="139" t="n">
        <v>1.2</v>
      </c>
      <c r="S27" s="139" t="n">
        <v>0</v>
      </c>
      <c r="T27" s="128" t="inlineStr">
        <is>
          <t>Generic</t>
        </is>
      </c>
      <c r="U27" s="38" t="n">
        <v>70</v>
      </c>
      <c r="X27" t="inlineStr">
        <is>
          <t>Lot A</t>
        </is>
      </c>
      <c r="Y27" t="inlineStr">
        <is>
          <t>Lot A</t>
        </is>
      </c>
      <c r="Z27" t="inlineStr">
        <is>
          <t>Lot A</t>
        </is>
      </c>
      <c r="AA27" t="inlineStr">
        <is>
          <t>Lot A</t>
        </is>
      </c>
      <c r="AB27" t="inlineStr">
        <is>
          <t>Lot A</t>
        </is>
      </c>
      <c r="AC27" t="inlineStr">
        <is>
          <t>Lot A</t>
        </is>
      </c>
      <c r="AD27" t="inlineStr">
        <is>
          <t>Lot A</t>
        </is>
      </c>
    </row>
    <row r="28" ht="18" customHeight="1">
      <c r="A28" s="137" t="inlineStr">
        <is>
          <t>Doburoku</t>
        </is>
      </c>
      <c r="B28" s="138" t="n">
        <v>0.2</v>
      </c>
      <c r="C28" s="138" t="n">
        <v>1.3</v>
      </c>
      <c r="D28" s="138" t="n">
        <v>0</v>
      </c>
      <c r="E28" s="138" t="n">
        <v>0</v>
      </c>
      <c r="F28" s="138" t="n">
        <v>1</v>
      </c>
      <c r="G28" s="138" t="n">
        <v>0</v>
      </c>
      <c r="H28" s="138" t="n">
        <v>0.21</v>
      </c>
      <c r="I28" s="138" t="n">
        <v>0.26</v>
      </c>
      <c r="J28" s="138" t="n">
        <v>0.53</v>
      </c>
      <c r="K28" s="138" t="n">
        <v>0</v>
      </c>
      <c r="L28" s="138" t="n">
        <v>0</v>
      </c>
      <c r="M28" s="138" t="n">
        <v>0</v>
      </c>
      <c r="N28" s="138" t="n">
        <v>1.3</v>
      </c>
      <c r="O28" s="139" t="n">
        <v>0</v>
      </c>
      <c r="P28" s="139" t="n">
        <v>0</v>
      </c>
      <c r="Q28" s="139" t="n">
        <v>0</v>
      </c>
      <c r="R28" s="139" t="n">
        <v>0</v>
      </c>
      <c r="S28" s="139" t="n">
        <v>0</v>
      </c>
      <c r="T28" s="128" t="inlineStr">
        <is>
          <t>Generic</t>
        </is>
      </c>
      <c r="U28" s="38" t="n">
        <v>70</v>
      </c>
      <c r="X28" t="inlineStr">
        <is>
          <t>Lot A</t>
        </is>
      </c>
      <c r="Y28" t="inlineStr">
        <is>
          <t>Lot A</t>
        </is>
      </c>
      <c r="Z28" t="inlineStr">
        <is>
          <t>Lot A</t>
        </is>
      </c>
      <c r="AA28" t="inlineStr">
        <is>
          <t>Lot A</t>
        </is>
      </c>
      <c r="AB28" t="inlineStr">
        <is>
          <t>Lot A</t>
        </is>
      </c>
      <c r="AC28" t="inlineStr">
        <is>
          <t>Lot A</t>
        </is>
      </c>
      <c r="AD28" t="inlineStr">
        <is>
          <t>Lot A</t>
        </is>
      </c>
    </row>
    <row r="29" ht="18" customHeight="1">
      <c r="A29" s="137" t="inlineStr">
        <is>
          <t>Koon_Toka</t>
        </is>
      </c>
      <c r="B29" s="138" t="n">
        <v>0.22</v>
      </c>
      <c r="C29" s="138" t="n">
        <v>1.3</v>
      </c>
      <c r="D29" s="138" t="n">
        <v>0.1667</v>
      </c>
      <c r="E29" s="138" t="n">
        <v>0.3333</v>
      </c>
      <c r="F29" s="138" t="n">
        <v>0.5</v>
      </c>
      <c r="G29" s="138" t="n">
        <v>0</v>
      </c>
      <c r="H29" s="138" t="n">
        <v>0.222</v>
      </c>
      <c r="I29" s="138" t="n">
        <v>0.333</v>
      </c>
      <c r="J29" s="138" t="n">
        <v>0.444</v>
      </c>
      <c r="K29" s="138" t="n">
        <v>0</v>
      </c>
      <c r="L29" s="138" t="n">
        <v>0.95</v>
      </c>
      <c r="M29" s="138" t="n">
        <v>1.25</v>
      </c>
      <c r="N29" s="138" t="n">
        <v>1.45</v>
      </c>
      <c r="O29" s="139" t="n">
        <v>0</v>
      </c>
      <c r="P29" s="139" t="n">
        <v>0.07000000000000001</v>
      </c>
      <c r="Q29" s="139" t="n">
        <v>0.33</v>
      </c>
      <c r="R29" s="139" t="n">
        <v>1.1</v>
      </c>
      <c r="S29" s="139" t="n">
        <v>0</v>
      </c>
      <c r="T29" s="128" t="inlineStr">
        <is>
          <t>Generic</t>
        </is>
      </c>
      <c r="U29" s="38" t="n">
        <v>70</v>
      </c>
      <c r="X29" t="inlineStr">
        <is>
          <t>Lot A</t>
        </is>
      </c>
      <c r="Y29" t="inlineStr">
        <is>
          <t>Lot A</t>
        </is>
      </c>
      <c r="Z29" t="inlineStr">
        <is>
          <t>Lot A</t>
        </is>
      </c>
      <c r="AA29" t="inlineStr">
        <is>
          <t>Lot A</t>
        </is>
      </c>
      <c r="AB29" t="inlineStr">
        <is>
          <t>Lot A</t>
        </is>
      </c>
      <c r="AC29" t="inlineStr">
        <is>
          <t>Lot A</t>
        </is>
      </c>
      <c r="AD29" t="inlineStr">
        <is>
          <t>Lot A</t>
        </is>
      </c>
    </row>
    <row r="30" ht="18" customHeight="1">
      <c r="A30" s="140" t="inlineStr">
        <is>
          <t>Test: Bodaimoto_Historical</t>
        </is>
      </c>
      <c r="B30" s="141" t="n">
        <v>0.33</v>
      </c>
      <c r="C30" s="141" t="n">
        <v>1.25</v>
      </c>
      <c r="D30" s="141" t="n">
        <v>0</v>
      </c>
      <c r="E30" s="141" t="n">
        <v>0</v>
      </c>
      <c r="F30" s="141" t="n">
        <v>1</v>
      </c>
      <c r="G30" s="141" t="n">
        <v>0</v>
      </c>
      <c r="H30" s="141" t="n">
        <v>0.21</v>
      </c>
      <c r="I30" s="141" t="n">
        <v>0.26</v>
      </c>
      <c r="J30" s="141" t="n">
        <v>0.53</v>
      </c>
      <c r="K30" s="141" t="n">
        <v>0</v>
      </c>
      <c r="L30" s="141" t="n">
        <v>0</v>
      </c>
      <c r="M30" s="141" t="n">
        <v>0</v>
      </c>
      <c r="N30" s="141" t="n">
        <v>1.25</v>
      </c>
      <c r="O30" s="142" t="n">
        <v>0</v>
      </c>
      <c r="P30" s="142" t="n">
        <v>0.1</v>
      </c>
      <c r="Q30" s="142" t="n">
        <v>0.4</v>
      </c>
      <c r="R30" s="142" t="n">
        <v>1</v>
      </c>
      <c r="S30" s="142" t="n">
        <v>0.4</v>
      </c>
      <c r="T30" s="128" t="inlineStr">
        <is>
          <t>Generic</t>
        </is>
      </c>
      <c r="U30" s="38" t="n">
        <v>70</v>
      </c>
      <c r="X30" t="inlineStr">
        <is>
          <t>Lot A</t>
        </is>
      </c>
      <c r="Y30" t="inlineStr">
        <is>
          <t>Lot A</t>
        </is>
      </c>
      <c r="Z30" t="inlineStr">
        <is>
          <t>Lot A</t>
        </is>
      </c>
      <c r="AA30" t="inlineStr">
        <is>
          <t>Lot A</t>
        </is>
      </c>
      <c r="AB30" t="inlineStr">
        <is>
          <t>Lot A</t>
        </is>
      </c>
      <c r="AC30" t="inlineStr">
        <is>
          <t>Lot A</t>
        </is>
      </c>
      <c r="AD30" t="inlineStr">
        <is>
          <t>Lot A</t>
        </is>
      </c>
    </row>
    <row r="31" ht="18" customHeight="1">
      <c r="A31" s="140" t="inlineStr">
        <is>
          <t>Test: Bodaimoto_Nara</t>
        </is>
      </c>
      <c r="B31" s="141" t="n">
        <v>0.33</v>
      </c>
      <c r="C31" s="141" t="n">
        <v>1.25</v>
      </c>
      <c r="D31" s="141" t="n">
        <v>0.1667</v>
      </c>
      <c r="E31" s="141" t="n">
        <v>0.3333</v>
      </c>
      <c r="F31" s="141" t="n">
        <v>0.5</v>
      </c>
      <c r="G31" s="141" t="n">
        <v>0</v>
      </c>
      <c r="H31" s="141" t="n">
        <v>0.21</v>
      </c>
      <c r="I31" s="141" t="n">
        <v>0.26</v>
      </c>
      <c r="J31" s="141" t="n">
        <v>0.53</v>
      </c>
      <c r="K31" s="141" t="n">
        <v>0</v>
      </c>
      <c r="L31" s="141" t="n">
        <v>0.95</v>
      </c>
      <c r="M31" s="141" t="n">
        <v>1.25</v>
      </c>
      <c r="N31" s="141" t="n">
        <v>1.45</v>
      </c>
      <c r="O31" s="142" t="n">
        <v>0</v>
      </c>
      <c r="P31" s="142" t="n">
        <v>0.08</v>
      </c>
      <c r="Q31" s="142" t="n">
        <v>0.35</v>
      </c>
      <c r="R31" s="142" t="n">
        <v>1.1</v>
      </c>
      <c r="S31" s="142" t="n">
        <v>0.4</v>
      </c>
      <c r="T31" s="128" t="inlineStr">
        <is>
          <t>Generic</t>
        </is>
      </c>
      <c r="U31" s="38" t="n">
        <v>70</v>
      </c>
      <c r="X31" t="inlineStr">
        <is>
          <t>Lot A</t>
        </is>
      </c>
      <c r="Y31" t="inlineStr">
        <is>
          <t>Lot A</t>
        </is>
      </c>
      <c r="Z31" t="inlineStr">
        <is>
          <t>Lot A</t>
        </is>
      </c>
      <c r="AA31" t="inlineStr">
        <is>
          <t>Lot A</t>
        </is>
      </c>
      <c r="AB31" t="inlineStr">
        <is>
          <t>Lot A</t>
        </is>
      </c>
      <c r="AC31" t="inlineStr">
        <is>
          <t>Lot A</t>
        </is>
      </c>
      <c r="AD31" t="inlineStr">
        <is>
          <t>Lot A</t>
        </is>
      </c>
    </row>
    <row r="32" ht="18" customHeight="1">
      <c r="A32" s="140" t="inlineStr">
        <is>
          <t>Test: Mizumoto_Hanatomoe</t>
        </is>
      </c>
      <c r="B32" s="141" t="n">
        <v>0.23</v>
      </c>
      <c r="C32" s="141" t="n">
        <v>1.2</v>
      </c>
      <c r="D32" s="141" t="n">
        <v>0.1667</v>
      </c>
      <c r="E32" s="141" t="n">
        <v>0.3333</v>
      </c>
      <c r="F32" s="141" t="n">
        <v>0.5</v>
      </c>
      <c r="G32" s="141" t="n">
        <v>0</v>
      </c>
      <c r="H32" s="141" t="n">
        <v>0.21</v>
      </c>
      <c r="I32" s="141" t="n">
        <v>0.26</v>
      </c>
      <c r="J32" s="141" t="n">
        <v>0.53</v>
      </c>
      <c r="K32" s="141" t="n">
        <v>0</v>
      </c>
      <c r="L32" s="141" t="n">
        <v>0.95</v>
      </c>
      <c r="M32" s="141" t="n">
        <v>1.25</v>
      </c>
      <c r="N32" s="141" t="n">
        <v>1.45</v>
      </c>
      <c r="O32" s="142" t="n">
        <v>0</v>
      </c>
      <c r="P32" s="142" t="n">
        <v>0.07000000000000001</v>
      </c>
      <c r="Q32" s="142" t="n">
        <v>0.33</v>
      </c>
      <c r="R32" s="142" t="n">
        <v>1.1</v>
      </c>
      <c r="S32" s="142" t="n">
        <v>0.2</v>
      </c>
      <c r="T32" s="128" t="inlineStr">
        <is>
          <t>Generic</t>
        </is>
      </c>
      <c r="U32" s="38" t="n">
        <v>70</v>
      </c>
      <c r="X32" t="inlineStr">
        <is>
          <t>Lot A</t>
        </is>
      </c>
      <c r="Y32" t="inlineStr">
        <is>
          <t>Lot A</t>
        </is>
      </c>
      <c r="Z32" t="inlineStr">
        <is>
          <t>Lot A</t>
        </is>
      </c>
      <c r="AA32" t="inlineStr">
        <is>
          <t>Lot A</t>
        </is>
      </c>
      <c r="AB32" t="inlineStr">
        <is>
          <t>Lot A</t>
        </is>
      </c>
      <c r="AC32" t="inlineStr">
        <is>
          <t>Lot A</t>
        </is>
      </c>
      <c r="AD32" t="inlineStr">
        <is>
          <t>Lot A</t>
        </is>
      </c>
    </row>
    <row r="33" ht="18" customHeight="1">
      <c r="A33" s="140" t="inlineStr">
        <is>
          <t>Test: Ginjo_Aomori</t>
        </is>
      </c>
      <c r="B33" s="141" t="n">
        <v>0.22</v>
      </c>
      <c r="C33" s="141" t="n">
        <v>1.35</v>
      </c>
      <c r="D33" s="141" t="n">
        <v>0.1667</v>
      </c>
      <c r="E33" s="141" t="n">
        <v>0.3333</v>
      </c>
      <c r="F33" s="141" t="n">
        <v>0.5</v>
      </c>
      <c r="G33" s="141" t="n">
        <v>0</v>
      </c>
      <c r="H33" s="141" t="n">
        <v>0.21</v>
      </c>
      <c r="I33" s="141" t="n">
        <v>0.26</v>
      </c>
      <c r="J33" s="141" t="n">
        <v>0.53</v>
      </c>
      <c r="K33" s="141" t="n">
        <v>0</v>
      </c>
      <c r="L33" s="141" t="n">
        <v>1.05</v>
      </c>
      <c r="M33" s="141" t="n">
        <v>1.35</v>
      </c>
      <c r="N33" s="141" t="n">
        <v>1.6</v>
      </c>
      <c r="O33" s="142" t="n">
        <v>0</v>
      </c>
      <c r="P33" s="142" t="n">
        <v>0.07000000000000001</v>
      </c>
      <c r="Q33" s="142" t="n">
        <v>0.33</v>
      </c>
      <c r="R33" s="142" t="n">
        <v>1.15</v>
      </c>
      <c r="S33" s="142" t="n">
        <v>0</v>
      </c>
      <c r="T33" s="128" t="inlineStr">
        <is>
          <t>Yamadanishiki</t>
        </is>
      </c>
      <c r="U33" s="38" t="n">
        <v>55</v>
      </c>
      <c r="X33" t="inlineStr">
        <is>
          <t>Lot A</t>
        </is>
      </c>
      <c r="Y33" t="inlineStr">
        <is>
          <t>Lot A</t>
        </is>
      </c>
      <c r="Z33" t="inlineStr">
        <is>
          <t>Lot A</t>
        </is>
      </c>
      <c r="AA33" t="inlineStr">
        <is>
          <t>Lot A</t>
        </is>
      </c>
      <c r="AB33" t="inlineStr">
        <is>
          <t>Lot A</t>
        </is>
      </c>
      <c r="AC33" t="inlineStr">
        <is>
          <t>Lot A</t>
        </is>
      </c>
      <c r="AD33" t="inlineStr">
        <is>
          <t>Lot A</t>
        </is>
      </c>
    </row>
    <row r="34" ht="18" customHeight="1">
      <c r="A34" s="140" t="inlineStr">
        <is>
          <t>Test: Tokubetsu_Junmai</t>
        </is>
      </c>
      <c r="B34" s="141" t="n">
        <v>0.22</v>
      </c>
      <c r="C34" s="141" t="n">
        <v>1.25</v>
      </c>
      <c r="D34" s="141" t="n">
        <v>0.1667</v>
      </c>
      <c r="E34" s="141" t="n">
        <v>0.3333</v>
      </c>
      <c r="F34" s="141" t="n">
        <v>0.5</v>
      </c>
      <c r="G34" s="141" t="n">
        <v>0</v>
      </c>
      <c r="H34" s="141" t="n">
        <v>0.21</v>
      </c>
      <c r="I34" s="141" t="n">
        <v>0.26</v>
      </c>
      <c r="J34" s="141" t="n">
        <v>0.53</v>
      </c>
      <c r="K34" s="141" t="n">
        <v>0</v>
      </c>
      <c r="L34" s="141" t="n">
        <v>0.92</v>
      </c>
      <c r="M34" s="141" t="n">
        <v>1.2</v>
      </c>
      <c r="N34" s="141" t="n">
        <v>1.4</v>
      </c>
      <c r="O34" s="142" t="n">
        <v>0</v>
      </c>
      <c r="P34" s="142" t="n">
        <v>0.07000000000000001</v>
      </c>
      <c r="Q34" s="142" t="n">
        <v>0.33</v>
      </c>
      <c r="R34" s="142" t="n">
        <v>1.05</v>
      </c>
      <c r="S34" s="142" t="n">
        <v>0</v>
      </c>
      <c r="T34" s="128" t="inlineStr">
        <is>
          <t>Gohyakumangoku</t>
        </is>
      </c>
      <c r="U34" s="38" t="n">
        <v>70</v>
      </c>
      <c r="X34" t="inlineStr">
        <is>
          <t>Lot A</t>
        </is>
      </c>
      <c r="Y34" t="inlineStr">
        <is>
          <t>Lot A</t>
        </is>
      </c>
      <c r="Z34" t="inlineStr">
        <is>
          <t>Lot A</t>
        </is>
      </c>
      <c r="AA34" t="inlineStr">
        <is>
          <t>Lot A</t>
        </is>
      </c>
      <c r="AB34" t="inlineStr">
        <is>
          <t>Lot A</t>
        </is>
      </c>
      <c r="AC34" t="inlineStr">
        <is>
          <t>Lot A</t>
        </is>
      </c>
      <c r="AD34" t="inlineStr">
        <is>
          <t>Lot A</t>
        </is>
      </c>
    </row>
    <row r="35" ht="18" customHeight="1">
      <c r="A35" s="140" t="inlineStr">
        <is>
          <t>Test: Yamahai_Tamba</t>
        </is>
      </c>
      <c r="B35" s="141" t="n">
        <v>0.23</v>
      </c>
      <c r="C35" s="141" t="n">
        <v>1.3</v>
      </c>
      <c r="D35" s="141" t="n">
        <v>0.1667</v>
      </c>
      <c r="E35" s="141" t="n">
        <v>0.3333</v>
      </c>
      <c r="F35" s="141" t="n">
        <v>0.5</v>
      </c>
      <c r="G35" s="141" t="n">
        <v>0</v>
      </c>
      <c r="H35" s="141" t="n">
        <v>0.21</v>
      </c>
      <c r="I35" s="141" t="n">
        <v>0.26</v>
      </c>
      <c r="J35" s="141" t="n">
        <v>0.53</v>
      </c>
      <c r="K35" s="141" t="n">
        <v>0</v>
      </c>
      <c r="L35" s="141" t="n">
        <v>0.95</v>
      </c>
      <c r="M35" s="141" t="n">
        <v>1.25</v>
      </c>
      <c r="N35" s="141" t="n">
        <v>1.45</v>
      </c>
      <c r="O35" s="142" t="n">
        <v>0</v>
      </c>
      <c r="P35" s="142" t="n">
        <v>0.08</v>
      </c>
      <c r="Q35" s="142" t="n">
        <v>0.35</v>
      </c>
      <c r="R35" s="142" t="n">
        <v>1.1</v>
      </c>
      <c r="S35" s="142" t="n">
        <v>0</v>
      </c>
      <c r="T35" s="128" t="inlineStr">
        <is>
          <t>Yamadanishiki</t>
        </is>
      </c>
      <c r="U35" s="38" t="n">
        <v>70</v>
      </c>
      <c r="X35" t="inlineStr">
        <is>
          <t>Lot A</t>
        </is>
      </c>
      <c r="Y35" t="inlineStr">
        <is>
          <t>Lot A</t>
        </is>
      </c>
      <c r="Z35" t="inlineStr">
        <is>
          <t>Lot A</t>
        </is>
      </c>
      <c r="AA35" t="inlineStr">
        <is>
          <t>Lot A</t>
        </is>
      </c>
      <c r="AB35" t="inlineStr">
        <is>
          <t>Lot A</t>
        </is>
      </c>
      <c r="AC35" t="inlineStr">
        <is>
          <t>Lot A</t>
        </is>
      </c>
      <c r="AD35" t="inlineStr">
        <is>
          <t>Lot A</t>
        </is>
      </c>
    </row>
    <row r="36" ht="18" customHeight="1">
      <c r="A36" s="143" t="inlineStr">
        <is>
          <t>Experimental: High_Koji_40pct</t>
        </is>
      </c>
      <c r="B36" s="144" t="n">
        <v>0.4</v>
      </c>
      <c r="C36" s="144" t="n">
        <v>1.4</v>
      </c>
      <c r="D36" s="144" t="n">
        <v>0.1667</v>
      </c>
      <c r="E36" s="144" t="n">
        <v>0.3333</v>
      </c>
      <c r="F36" s="144" t="n">
        <v>0.5</v>
      </c>
      <c r="G36" s="144" t="n">
        <v>0</v>
      </c>
      <c r="H36" s="144" t="n">
        <v>0.21</v>
      </c>
      <c r="I36" s="144" t="n">
        <v>0.26</v>
      </c>
      <c r="J36" s="144" t="n">
        <v>0.53</v>
      </c>
      <c r="K36" s="144" t="n">
        <v>0</v>
      </c>
      <c r="L36" s="144" t="n">
        <v>1.05</v>
      </c>
      <c r="M36" s="144" t="n">
        <v>1.35</v>
      </c>
      <c r="N36" s="144" t="n">
        <v>1.6</v>
      </c>
      <c r="O36" s="145" t="n">
        <v>0</v>
      </c>
      <c r="P36" s="145" t="n">
        <v>0.08</v>
      </c>
      <c r="Q36" s="145" t="n">
        <v>0.45</v>
      </c>
      <c r="R36" s="145" t="n">
        <v>1.2</v>
      </c>
      <c r="S36" s="145" t="n">
        <v>0</v>
      </c>
      <c r="T36" s="128" t="inlineStr">
        <is>
          <t>Generic</t>
        </is>
      </c>
      <c r="U36" s="38" t="n">
        <v>70</v>
      </c>
      <c r="X36" t="inlineStr">
        <is>
          <t>Lot A</t>
        </is>
      </c>
      <c r="Y36" t="inlineStr">
        <is>
          <t>Lot A</t>
        </is>
      </c>
      <c r="Z36" t="inlineStr">
        <is>
          <t>Lot A</t>
        </is>
      </c>
      <c r="AA36" t="inlineStr">
        <is>
          <t>Lot A</t>
        </is>
      </c>
      <c r="AB36" t="inlineStr">
        <is>
          <t>Lot A</t>
        </is>
      </c>
      <c r="AC36" t="inlineStr">
        <is>
          <t>Lot A</t>
        </is>
      </c>
      <c r="AD36" t="inlineStr">
        <is>
          <t>Lot A</t>
        </is>
      </c>
    </row>
    <row r="37" ht="18" customHeight="1">
      <c r="A37" s="143" t="inlineStr">
        <is>
          <t>Experimental: All_Koji_100pct</t>
        </is>
      </c>
      <c r="B37" s="144" t="n">
        <v>1</v>
      </c>
      <c r="C37" s="144" t="n">
        <v>1.4</v>
      </c>
      <c r="D37" s="144" t="n">
        <v>0.1667</v>
      </c>
      <c r="E37" s="144" t="n">
        <v>0.3333</v>
      </c>
      <c r="F37" s="144" t="n">
        <v>0.5</v>
      </c>
      <c r="G37" s="144" t="n">
        <v>0</v>
      </c>
      <c r="H37" s="144" t="n">
        <v>0.21</v>
      </c>
      <c r="I37" s="144" t="n">
        <v>0.26</v>
      </c>
      <c r="J37" s="144" t="n">
        <v>0.53</v>
      </c>
      <c r="K37" s="144" t="n">
        <v>0</v>
      </c>
      <c r="L37" s="144" t="n">
        <v>1.05</v>
      </c>
      <c r="M37" s="144" t="n">
        <v>1.35</v>
      </c>
      <c r="N37" s="144" t="n">
        <v>1.6</v>
      </c>
      <c r="O37" s="145" t="n">
        <v>0</v>
      </c>
      <c r="P37" s="145" t="n">
        <v>0.08</v>
      </c>
      <c r="Q37" s="145" t="n">
        <v>1</v>
      </c>
      <c r="R37" s="145" t="n">
        <v>1.2</v>
      </c>
      <c r="S37" s="145" t="n">
        <v>0</v>
      </c>
      <c r="T37" s="128" t="inlineStr">
        <is>
          <t>Generic</t>
        </is>
      </c>
      <c r="U37" s="38" t="n">
        <v>70</v>
      </c>
      <c r="X37" t="inlineStr">
        <is>
          <t>Lot A</t>
        </is>
      </c>
      <c r="Y37" t="inlineStr">
        <is>
          <t>Lot A</t>
        </is>
      </c>
      <c r="Z37" t="inlineStr">
        <is>
          <t>Lot A</t>
        </is>
      </c>
      <c r="AA37" t="inlineStr">
        <is>
          <t>Lot A</t>
        </is>
      </c>
      <c r="AB37" t="inlineStr">
        <is>
          <t>Lot A</t>
        </is>
      </c>
      <c r="AC37" t="inlineStr">
        <is>
          <t>Lot A</t>
        </is>
      </c>
      <c r="AD37" t="inlineStr">
        <is>
          <t>Lot A</t>
        </is>
      </c>
    </row>
    <row r="38" ht="18" customHeight="1">
      <c r="A38" s="140" t="inlineStr">
        <is>
          <t>Test: Tokyo_1878_Process1</t>
        </is>
      </c>
      <c r="B38" s="141" t="n">
        <v>0.096</v>
      </c>
      <c r="C38" s="141" t="n">
        <v>1.27</v>
      </c>
      <c r="D38" s="141" t="n">
        <v>0</v>
      </c>
      <c r="E38" s="141" t="n">
        <v>0</v>
      </c>
      <c r="F38" s="141" t="n">
        <v>1</v>
      </c>
      <c r="G38" s="141" t="n">
        <v>0</v>
      </c>
      <c r="H38" s="141" t="n">
        <v>0.21</v>
      </c>
      <c r="I38" s="141" t="n">
        <v>0.26</v>
      </c>
      <c r="J38" s="141" t="n">
        <v>0.53</v>
      </c>
      <c r="K38" s="141" t="n">
        <v>0</v>
      </c>
      <c r="L38" s="141" t="n">
        <v>0</v>
      </c>
      <c r="M38" s="141" t="n">
        <v>0</v>
      </c>
      <c r="N38" s="141" t="n">
        <v>1.27</v>
      </c>
      <c r="O38" s="142" t="n">
        <v>0</v>
      </c>
      <c r="P38" s="142" t="n">
        <v>0.08699999999999999</v>
      </c>
      <c r="Q38" s="142" t="n">
        <v>0</v>
      </c>
      <c r="R38" s="142" t="n">
        <v>0</v>
      </c>
      <c r="S38" s="142" t="n">
        <v>0</v>
      </c>
      <c r="T38" s="128" t="inlineStr">
        <is>
          <t>Generic</t>
        </is>
      </c>
      <c r="U38" s="38" t="n">
        <v>70</v>
      </c>
      <c r="X38" t="inlineStr">
        <is>
          <t>Lot A</t>
        </is>
      </c>
      <c r="Y38" t="inlineStr">
        <is>
          <t>Lot A</t>
        </is>
      </c>
      <c r="Z38" t="inlineStr">
        <is>
          <t>Lot A</t>
        </is>
      </c>
      <c r="AA38" t="inlineStr">
        <is>
          <t>Lot A</t>
        </is>
      </c>
      <c r="AB38" t="inlineStr">
        <is>
          <t>Lot A</t>
        </is>
      </c>
      <c r="AC38" t="inlineStr">
        <is>
          <t>Lot A</t>
        </is>
      </c>
      <c r="AD38" t="inlineStr">
        <is>
          <t>Lot A</t>
        </is>
      </c>
    </row>
    <row r="39" ht="18" customHeight="1">
      <c r="A39" s="140" t="inlineStr">
        <is>
          <t>Test: Tokyo_1878_Process2</t>
        </is>
      </c>
      <c r="B39" s="141" t="n">
        <v>0.095</v>
      </c>
      <c r="C39" s="141" t="n">
        <v>1.49</v>
      </c>
      <c r="D39" s="141" t="n">
        <v>0</v>
      </c>
      <c r="E39" s="141" t="n">
        <v>0</v>
      </c>
      <c r="F39" s="141" t="n">
        <v>1</v>
      </c>
      <c r="G39" s="141" t="n">
        <v>0</v>
      </c>
      <c r="H39" s="141" t="n">
        <v>0.21</v>
      </c>
      <c r="I39" s="141" t="n">
        <v>0.26</v>
      </c>
      <c r="J39" s="141" t="n">
        <v>0.53</v>
      </c>
      <c r="K39" s="141" t="n">
        <v>0</v>
      </c>
      <c r="L39" s="141" t="n">
        <v>0</v>
      </c>
      <c r="M39" s="141" t="n">
        <v>0</v>
      </c>
      <c r="N39" s="141" t="n">
        <v>1.49</v>
      </c>
      <c r="O39" s="142" t="n">
        <v>0</v>
      </c>
      <c r="P39" s="142" t="n">
        <v>0.09</v>
      </c>
      <c r="Q39" s="142" t="n">
        <v>0</v>
      </c>
      <c r="R39" s="142" t="n">
        <v>0</v>
      </c>
      <c r="S39" s="142" t="n">
        <v>0</v>
      </c>
      <c r="T39" s="128" t="inlineStr">
        <is>
          <t>Generic</t>
        </is>
      </c>
      <c r="U39" s="38" t="n">
        <v>70</v>
      </c>
      <c r="X39" t="inlineStr">
        <is>
          <t>Lot A</t>
        </is>
      </c>
      <c r="Y39" t="inlineStr">
        <is>
          <t>Lot A</t>
        </is>
      </c>
      <c r="Z39" t="inlineStr">
        <is>
          <t>Lot A</t>
        </is>
      </c>
      <c r="AA39" t="inlineStr">
        <is>
          <t>Lot A</t>
        </is>
      </c>
      <c r="AB39" t="inlineStr">
        <is>
          <t>Lot A</t>
        </is>
      </c>
      <c r="AC39" t="inlineStr">
        <is>
          <t>Lot A</t>
        </is>
      </c>
      <c r="AD39" t="inlineStr">
        <is>
          <t>Lot A</t>
        </is>
      </c>
    </row>
    <row r="40" ht="18" customHeight="1">
      <c r="A40" s="140" t="inlineStr">
        <is>
          <t>Test: Hachioji_1878</t>
        </is>
      </c>
      <c r="B40" s="141" t="n">
        <v>0.1</v>
      </c>
      <c r="C40" s="141" t="n">
        <v>1.28</v>
      </c>
      <c r="D40" s="141" t="n">
        <v>0</v>
      </c>
      <c r="E40" s="141" t="n">
        <v>0</v>
      </c>
      <c r="F40" s="141" t="n">
        <v>1</v>
      </c>
      <c r="G40" s="141" t="n">
        <v>0</v>
      </c>
      <c r="H40" s="141" t="n">
        <v>0.21</v>
      </c>
      <c r="I40" s="141" t="n">
        <v>0.26</v>
      </c>
      <c r="J40" s="141" t="n">
        <v>0.53</v>
      </c>
      <c r="K40" s="141" t="n">
        <v>0</v>
      </c>
      <c r="L40" s="141" t="n">
        <v>0</v>
      </c>
      <c r="M40" s="141" t="n">
        <v>0</v>
      </c>
      <c r="N40" s="141" t="n">
        <v>1.28</v>
      </c>
      <c r="O40" s="142" t="n">
        <v>0</v>
      </c>
      <c r="P40" s="142" t="n">
        <v>0.075</v>
      </c>
      <c r="Q40" s="142" t="n">
        <v>0</v>
      </c>
      <c r="R40" s="142" t="n">
        <v>0</v>
      </c>
      <c r="S40" s="142" t="n">
        <v>0</v>
      </c>
      <c r="T40" s="128" t="inlineStr">
        <is>
          <t>Generic</t>
        </is>
      </c>
      <c r="U40" s="38" t="n">
        <v>70</v>
      </c>
      <c r="X40" t="inlineStr">
        <is>
          <t>Lot A</t>
        </is>
      </c>
      <c r="Y40" t="inlineStr">
        <is>
          <t>Lot A</t>
        </is>
      </c>
      <c r="Z40" t="inlineStr">
        <is>
          <t>Lot A</t>
        </is>
      </c>
      <c r="AA40" t="inlineStr">
        <is>
          <t>Lot A</t>
        </is>
      </c>
      <c r="AB40" t="inlineStr">
        <is>
          <t>Lot A</t>
        </is>
      </c>
      <c r="AC40" t="inlineStr">
        <is>
          <t>Lot A</t>
        </is>
      </c>
      <c r="AD40" t="inlineStr">
        <is>
          <t>Lot A</t>
        </is>
      </c>
    </row>
    <row r="41" ht="18" customHeight="1">
      <c r="A41" s="146" t="inlineStr">
        <is>
          <t>Yondan_Rice</t>
        </is>
      </c>
      <c r="B41" s="147" t="n">
        <v>0.22</v>
      </c>
      <c r="C41" s="147" t="n">
        <v>1.3</v>
      </c>
      <c r="D41" s="147" t="n">
        <v>0.15</v>
      </c>
      <c r="E41" s="147" t="n">
        <v>0.3</v>
      </c>
      <c r="F41" s="147" t="n">
        <v>0.45</v>
      </c>
      <c r="G41" s="147" t="n">
        <v>0.1</v>
      </c>
      <c r="H41" s="147" t="n">
        <v>0.2</v>
      </c>
      <c r="I41" s="147" t="n">
        <v>0.3</v>
      </c>
      <c r="J41" s="147" t="n">
        <v>0.4</v>
      </c>
      <c r="K41" s="147" t="n">
        <v>0.1</v>
      </c>
      <c r="L41" s="147" t="n">
        <v>0.15</v>
      </c>
      <c r="M41" s="147" t="n">
        <v>0.3</v>
      </c>
      <c r="N41" s="147" t="n">
        <v>0.45</v>
      </c>
      <c r="O41" s="128" t="n">
        <v>0.1</v>
      </c>
      <c r="P41" s="128" t="n">
        <v>0.07000000000000001</v>
      </c>
      <c r="Q41" s="128" t="n">
        <v>0.3</v>
      </c>
      <c r="R41" s="128" t="n">
        <v>1.2</v>
      </c>
      <c r="S41" s="128" t="n">
        <v>0</v>
      </c>
      <c r="T41" s="128" t="n"/>
      <c r="U41" s="38" t="n"/>
    </row>
    <row r="42" ht="18" customHeight="1">
      <c r="A42" s="146" t="inlineStr">
        <is>
          <t>Yondan_Sweet</t>
        </is>
      </c>
      <c r="B42" s="147" t="n">
        <v>0.22</v>
      </c>
      <c r="C42" s="147" t="n">
        <v>1.3</v>
      </c>
      <c r="D42" s="147" t="n">
        <v>0.14</v>
      </c>
      <c r="E42" s="147" t="n">
        <v>0.28</v>
      </c>
      <c r="F42" s="147" t="n">
        <v>0.43</v>
      </c>
      <c r="G42" s="147" t="n">
        <v>0.15</v>
      </c>
      <c r="H42" s="147" t="n">
        <v>0.2</v>
      </c>
      <c r="I42" s="147" t="n">
        <v>0.3</v>
      </c>
      <c r="J42" s="147" t="n">
        <v>0.4</v>
      </c>
      <c r="K42" s="147" t="n">
        <v>0.1</v>
      </c>
      <c r="L42" s="147" t="n">
        <v>0.14</v>
      </c>
      <c r="M42" s="147" t="n">
        <v>0.28</v>
      </c>
      <c r="N42" s="147" t="n">
        <v>0.43</v>
      </c>
      <c r="O42" s="128" t="n">
        <v>0.15</v>
      </c>
      <c r="P42" s="128" t="n">
        <v>0.07000000000000001</v>
      </c>
      <c r="Q42" s="128" t="n">
        <v>0.3</v>
      </c>
      <c r="R42" s="128" t="n">
        <v>1.2</v>
      </c>
      <c r="S42" s="128" t="n">
        <v>0</v>
      </c>
      <c r="T42" s="128" t="n"/>
      <c r="U42" s="38" t="n"/>
    </row>
    <row r="43" ht="18" customHeight="1">
      <c r="A43" s="146" t="inlineStr">
        <is>
          <t>Bodaimoto_Yondan</t>
        </is>
      </c>
      <c r="B43" s="147" t="n">
        <v>0.35</v>
      </c>
      <c r="C43" s="147" t="n">
        <v>1.2</v>
      </c>
      <c r="D43" s="147" t="n">
        <v>0.15</v>
      </c>
      <c r="E43" s="147" t="n">
        <v>0.28</v>
      </c>
      <c r="F43" s="147" t="n">
        <v>0.45</v>
      </c>
      <c r="G43" s="147" t="n">
        <v>0.12</v>
      </c>
      <c r="H43" s="147" t="n">
        <v>0.2</v>
      </c>
      <c r="I43" s="147" t="n">
        <v>0.28</v>
      </c>
      <c r="J43" s="147" t="n">
        <v>0.4</v>
      </c>
      <c r="K43" s="147" t="n">
        <v>0.12</v>
      </c>
      <c r="L43" s="147" t="n">
        <v>0.15</v>
      </c>
      <c r="M43" s="147" t="n">
        <v>0.28</v>
      </c>
      <c r="N43" s="147" t="n">
        <v>0.45</v>
      </c>
      <c r="O43" s="128" t="n">
        <v>0.12</v>
      </c>
      <c r="P43" s="128" t="n">
        <v>0.08</v>
      </c>
      <c r="Q43" s="128" t="n">
        <v>0.4</v>
      </c>
      <c r="R43" s="128" t="n">
        <v>1.3</v>
      </c>
      <c r="S43" s="128" t="n">
        <v>0.4</v>
      </c>
      <c r="T43" s="128" t="n"/>
      <c r="U43" s="38" t="n"/>
    </row>
    <row r="44" ht="18" customHeight="1">
      <c r="A44" s="146" t="n"/>
      <c r="B44" s="147" t="n"/>
      <c r="C44" s="147" t="n"/>
      <c r="D44" s="147" t="n"/>
      <c r="E44" s="147" t="n"/>
      <c r="F44" s="147" t="n"/>
      <c r="G44" s="147" t="n"/>
      <c r="H44" s="147" t="n"/>
      <c r="I44" s="147" t="n"/>
      <c r="J44" s="147" t="n"/>
      <c r="K44" s="147" t="n"/>
      <c r="L44" s="147" t="n"/>
      <c r="M44" s="147" t="n"/>
      <c r="N44" s="147" t="n"/>
      <c r="O44" s="128" t="n"/>
      <c r="P44" s="128" t="n"/>
      <c r="Q44" s="128" t="n"/>
      <c r="R44" s="128" t="n"/>
      <c r="S44" s="128" t="n"/>
      <c r="T44" s="128" t="n"/>
      <c r="U44" s="38" t="n"/>
    </row>
    <row r="45" ht="18" customHeight="1"/>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D18"/>
  <sheetViews>
    <sheetView zoomScale="120" zoomScaleNormal="120" workbookViewId="0">
      <selection activeCell="A1" sqref="A1"/>
    </sheetView>
  </sheetViews>
  <sheetFormatPr baseColWidth="10" defaultColWidth="8.83203125" defaultRowHeight="15"/>
  <cols>
    <col width="32" customWidth="1" min="1" max="1"/>
    <col width="14" customWidth="1" min="2" max="2"/>
    <col width="42" customWidth="1" min="3" max="3"/>
    <col width="50" customWidth="1" min="4" max="4"/>
  </cols>
  <sheetData>
    <row r="1" ht="21.75" customHeight="1">
      <c r="A1" s="117" t="inlineStr">
        <is>
          <t>Constant</t>
        </is>
      </c>
      <c r="B1" s="117" t="inlineStr">
        <is>
          <t>Value</t>
        </is>
      </c>
      <c r="C1" s="117" t="inlineStr">
        <is>
          <t>Notes</t>
        </is>
      </c>
      <c r="D1" s="117" t="inlineStr">
        <is>
          <t>Toji notes</t>
        </is>
      </c>
    </row>
    <row r="2" ht="18" customHeight="1">
      <c r="A2" s="57" t="inlineStr">
        <is>
          <t>Mash density (kg/L)</t>
        </is>
      </c>
      <c r="B2" s="134" t="n">
        <v>0.95</v>
      </c>
      <c r="C2" s="148" t="inlineStr">
        <is>
          <t>Mass/volume for moromi</t>
        </is>
      </c>
      <c r="D2" s="148" t="inlineStr">
        <is>
          <t>Good starting density; expect moromi to lighten over time. Adjust if Brix/ABV profile drifts.</t>
        </is>
      </c>
    </row>
    <row r="3" ht="18" customHeight="1">
      <c r="A3" s="120" t="inlineStr">
        <is>
          <t>Fune yield fraction</t>
        </is>
      </c>
      <c r="B3" s="123" t="n">
        <v>0.63</v>
      </c>
      <c r="C3" s="149" t="inlineStr">
        <is>
          <t>Press efficiency</t>
        </is>
      </c>
      <c r="D3" s="149" t="inlineStr">
        <is>
          <t>Middle-of-the-road press yield. Track actual fune results by rice, polish, and pressure, then tune.</t>
        </is>
      </c>
    </row>
    <row r="4" ht="18" customHeight="1">
      <c r="A4" s="57" t="inlineStr">
        <is>
          <t>Headspace factor</t>
        </is>
      </c>
      <c r="B4" s="134" t="n">
        <v>1.3</v>
      </c>
      <c r="C4" s="148" t="inlineStr">
        <is>
          <t>1.30 = 30% headspace</t>
        </is>
      </c>
      <c r="D4" s="148" t="inlineStr">
        <is>
          <t>30% headspace is safe for kimoto/mizumoto and high-foam yeast. Only reduce if foam is clearly under control.</t>
        </is>
      </c>
    </row>
    <row r="5" ht="18" customHeight="1">
      <c r="A5" s="120" t="inlineStr">
        <is>
          <t>Tank volume (L)</t>
        </is>
      </c>
      <c r="B5" s="123" t="n">
        <v>30</v>
      </c>
      <c r="C5" s="149" t="inlineStr">
        <is>
          <t>Working volume input on Recipe</t>
        </is>
      </c>
      <c r="D5" s="149" t="inlineStr">
        <is>
          <t>Default tank used for examples; normally choose tank size per batch on Recipe, not by changing this constant.</t>
        </is>
      </c>
    </row>
    <row r="6" ht="18" customHeight="1">
      <c r="A6" s="57" t="inlineStr">
        <is>
          <t>Ueda post-steam moisture</t>
        </is>
      </c>
      <c r="B6" s="134" t="n">
        <v>0.42</v>
      </c>
      <c r="C6" s="150" t="n"/>
      <c r="D6" s="148" t="inlineStr">
        <is>
          <t>Textbook post-steam moisture; confirm by feel and scale for each rice lot rather than trusting only this number.</t>
        </is>
      </c>
    </row>
    <row r="7" ht="18" customHeight="1">
      <c r="A7" s="120" t="inlineStr">
        <is>
          <t>Ueda pre-inoc moisture</t>
        </is>
      </c>
      <c r="B7" s="123" t="n">
        <v>0.3</v>
      </c>
      <c r="C7" s="150" t="n"/>
      <c r="D7" s="149" t="inlineStr">
        <is>
          <t>Standard pre-inoc dryness. If koji runs too hot, lower this; if it stalls, allow slightly higher moisture.</t>
        </is>
      </c>
    </row>
    <row r="8" ht="18" customHeight="1">
      <c r="A8" s="57" t="inlineStr">
        <is>
          <t>Tray capacity pre-inoc (kg)</t>
        </is>
      </c>
      <c r="B8" s="134" t="n">
        <v>1.5</v>
      </c>
      <c r="C8" s="148" t="inlineStr">
        <is>
          <t>Max per tray at shallow bed depth</t>
        </is>
      </c>
      <c r="D8" s="148" t="inlineStr">
        <is>
          <t>Max steamed rice per tray at shallow bed depth. Reduce load if trays feel hot or uneven in the center.</t>
        </is>
      </c>
    </row>
    <row r="9" ht="18" customHeight="1">
      <c r="A9" s="120" t="inlineStr">
        <is>
          <t>Amazake pass threshold (°Bé)</t>
        </is>
      </c>
      <c r="B9" s="123" t="n">
        <v>6</v>
      </c>
      <c r="C9" s="150" t="n"/>
      <c r="D9" s="149" t="inlineStr">
        <is>
          <t>Minimum enzyme strength target. Still pass judgment by aroma and flavor, not °Bé alone.</t>
        </is>
      </c>
    </row>
    <row r="10" ht="18" customHeight="1">
      <c r="A10" s="57" t="inlineStr">
        <is>
          <t>Yeast pitch rate (M cells/mL)</t>
        </is>
      </c>
      <c r="B10" s="134" t="n">
        <v>10</v>
      </c>
      <c r="C10" s="150" t="n"/>
      <c r="D10" s="148" t="inlineStr">
        <is>
          <t>Modern sokujo pitch rate. For kimoto/mizumoto, prioritize moto health and progression over exact counts.</t>
        </is>
      </c>
    </row>
    <row r="11" ht="18" customHeight="1">
      <c r="A11" s="120" t="inlineStr">
        <is>
          <t>Dry yeast cells per g</t>
        </is>
      </c>
      <c r="B11" s="123" t="n">
        <v>10000000000</v>
      </c>
      <c r="C11" s="150" t="n"/>
      <c r="D11" s="149" t="inlineStr">
        <is>
          <t>Based on typical dried yeast specs. Override with supplier’s data if they publish cell counts.</t>
        </is>
      </c>
    </row>
    <row r="12" ht="18" customHeight="1">
      <c r="A12" s="57" t="inlineStr">
        <is>
          <t>Liquid yeast cells per mL</t>
        </is>
      </c>
      <c r="B12" s="134" t="n">
        <v>100000000</v>
      </c>
      <c r="C12" s="150" t="n"/>
      <c r="D12" s="148" t="inlineStr">
        <is>
          <t>Generic liquid culture density; use lab or supplier numbers when available.</t>
        </is>
      </c>
    </row>
    <row r="13" ht="18" customHeight="1">
      <c r="A13" s="120" t="inlineStr">
        <is>
          <t>Liquid yeast pouch volume (mL)</t>
        </is>
      </c>
      <c r="B13" s="123" t="n">
        <v>100</v>
      </c>
      <c r="C13" s="150" t="n"/>
      <c r="D13" s="149" t="inlineStr">
        <is>
          <t>Default pouch volume; set to your actual packaging or lab flask size.</t>
        </is>
      </c>
    </row>
    <row r="14" ht="18" customHeight="1">
      <c r="A14" s="57" t="inlineStr">
        <is>
          <t>Moto % of total rice (default)</t>
        </is>
      </c>
      <c r="B14" s="134" t="n">
        <v>0.07000000000000001</v>
      </c>
      <c r="C14" s="148" t="inlineStr">
        <is>
          <t>Traditional moto is 6-8% of total rice</t>
        </is>
      </c>
      <c r="D14" s="148" t="inlineStr">
        <is>
          <t>Use preset-specific values from Baselines; this is fallback only.</t>
        </is>
      </c>
    </row>
    <row r="15" ht="18" customHeight="1">
      <c r="A15" s="120" t="inlineStr">
        <is>
          <t>Bodaimoto raw rice ratio</t>
        </is>
      </c>
      <c r="B15" s="123" t="n">
        <v>0.7</v>
      </c>
      <c r="C15" s="149" t="inlineStr">
        <is>
          <t>Raw rice as % of moto rice for bodaimoto</t>
        </is>
      </c>
      <c r="D15" s="149" t="inlineStr">
        <is>
          <t>Traditional Nara bodaimoto uses 70% raw rice; adjust per brewery method.</t>
        </is>
      </c>
    </row>
    <row r="16" ht="15" customHeight="1">
      <c r="A16" t="inlineStr">
        <is>
          <t>Dekoji buai</t>
        </is>
      </c>
      <c r="B16" t="n">
        <v>0.16</v>
      </c>
      <c r="C16" t="inlineStr">
        <is>
          <t>Finished koji weight gain (16% typical, range 14-17%)</t>
        </is>
      </c>
    </row>
    <row r="17" ht="15" customHeight="1">
      <c r="A17" t="inlineStr">
        <is>
          <t>NRIB yield (L/kg)</t>
        </is>
      </c>
      <c r="B17" t="n">
        <v>1.8</v>
      </c>
    </row>
    <row r="18" ht="15" customHeight="1">
      <c r="A18" t="inlineStr">
        <is>
          <t>Genshu ABV (%)</t>
        </is>
      </c>
      <c r="B18" t="n">
        <v>18.2</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K22"/>
  <sheetViews>
    <sheetView zoomScale="120" zoomScaleNormal="120" workbookViewId="0">
      <selection activeCell="A1" sqref="A1"/>
    </sheetView>
  </sheetViews>
  <sheetFormatPr baseColWidth="10" defaultColWidth="8.6640625" defaultRowHeight="15"/>
  <cols>
    <col width="50" customWidth="1" min="1" max="1"/>
    <col width="42" customWidth="1" min="2" max="2"/>
    <col width="17" customWidth="1" min="3" max="3"/>
    <col width="16" customWidth="1" min="4" max="4"/>
    <col width="17" customWidth="1" min="5" max="5"/>
    <col width="12" customWidth="1" min="6" max="6"/>
    <col width="16" customWidth="1" min="7" max="7"/>
    <col width="20" customWidth="1" min="8" max="8"/>
    <col width="8" customWidth="1" min="9" max="9"/>
    <col width="43" customWidth="1" min="10" max="10"/>
  </cols>
  <sheetData>
    <row r="1" ht="21.75" customHeight="1">
      <c r="A1" s="117" t="inlineStr">
        <is>
          <t>Moto Type</t>
        </is>
      </c>
      <c r="B1" s="117" t="inlineStr">
        <is>
          <t>Description</t>
        </is>
      </c>
      <c r="C1" s="117" t="inlineStr">
        <is>
          <t>Moto % of Total</t>
        </is>
      </c>
      <c r="D1" s="117" t="inlineStr">
        <is>
          <t>Koji % of Moto</t>
        </is>
      </c>
      <c r="E1" s="117" t="inlineStr">
        <is>
          <t>Water % of Moto</t>
        </is>
      </c>
      <c r="F1" s="117" t="inlineStr">
        <is>
          <t>Raw Rice %</t>
        </is>
      </c>
      <c r="G1" s="117" t="inlineStr">
        <is>
          <t>Steamed Rice %</t>
        </is>
      </c>
      <c r="H1" s="117" t="inlineStr">
        <is>
          <t>Lactic Source</t>
        </is>
      </c>
      <c r="I1" s="117" t="inlineStr">
        <is>
          <t>Days</t>
        </is>
      </c>
      <c r="J1" s="117" t="inlineStr">
        <is>
          <t>Notes</t>
        </is>
      </c>
    </row>
    <row r="2" ht="18" customHeight="1">
      <c r="A2" s="57" t="inlineStr">
        <is>
          <t>Sokujo</t>
        </is>
      </c>
      <c r="B2" s="136" t="inlineStr">
        <is>
          <t>Fast method - lactic acid added at start</t>
        </is>
      </c>
      <c r="C2" s="134" t="n">
        <v>0.06</v>
      </c>
      <c r="D2" s="134" t="n">
        <v>0.33</v>
      </c>
      <c r="E2" s="134" t="n">
        <v>1.2</v>
      </c>
      <c r="F2" s="151" t="n">
        <v>0</v>
      </c>
      <c r="G2" s="151" t="n">
        <v>1</v>
      </c>
      <c r="H2" s="136" t="inlineStr">
        <is>
          <t>Added lactic acid</t>
        </is>
      </c>
      <c r="I2" s="136" t="inlineStr">
        <is>
          <t>7-10</t>
        </is>
      </c>
      <c r="J2" s="136" t="inlineStr">
        <is>
          <t>Modern standard; clean, efficient</t>
        </is>
      </c>
      <c r="K2" t="n">
        <v>10</v>
      </c>
    </row>
    <row r="3" ht="18" customHeight="1">
      <c r="A3" s="120" t="inlineStr">
        <is>
          <t>Kimoto</t>
        </is>
      </c>
      <c r="B3" s="122" t="inlineStr">
        <is>
          <t>Traditional with yamaoroshi pole mashing</t>
        </is>
      </c>
      <c r="C3" s="123" t="n">
        <v>0.07000000000000001</v>
      </c>
      <c r="D3" s="123" t="n">
        <v>0.31</v>
      </c>
      <c r="E3" s="123" t="n">
        <v>1.08</v>
      </c>
      <c r="F3" s="152" t="n">
        <v>0</v>
      </c>
      <c r="G3" s="152" t="n">
        <v>1</v>
      </c>
      <c r="H3" s="122" t="inlineStr">
        <is>
          <t>Natural LAB</t>
        </is>
      </c>
      <c r="I3" s="122" t="inlineStr">
        <is>
          <t>25-30</t>
        </is>
      </c>
      <c r="J3" s="122" t="inlineStr">
        <is>
          <t>Labor intensive; rich umami, higher acid</t>
        </is>
      </c>
      <c r="K3" t="n">
        <v>7</v>
      </c>
    </row>
    <row r="4" ht="18" customHeight="1">
      <c r="A4" s="57" t="inlineStr">
        <is>
          <t>Yamahai</t>
        </is>
      </c>
      <c r="B4" s="136" t="inlineStr">
        <is>
          <t>Traditional without yamaoroshi</t>
        </is>
      </c>
      <c r="C4" s="134" t="n">
        <v>0.07000000000000001</v>
      </c>
      <c r="D4" s="134" t="n">
        <v>0.31</v>
      </c>
      <c r="E4" s="134" t="n">
        <v>1.08</v>
      </c>
      <c r="F4" s="151" t="n">
        <v>0</v>
      </c>
      <c r="G4" s="151" t="n">
        <v>1</v>
      </c>
      <c r="H4" s="136" t="inlineStr">
        <is>
          <t>Natural LAB</t>
        </is>
      </c>
      <c r="I4" s="136" t="inlineStr">
        <is>
          <t>25-30</t>
        </is>
      </c>
      <c r="J4" s="136" t="inlineStr">
        <is>
          <t>Simpler than kimoto; gamey, complex</t>
        </is>
      </c>
      <c r="K4" t="n">
        <v>7</v>
      </c>
    </row>
    <row r="5" ht="18" customHeight="1">
      <c r="A5" s="120" t="inlineStr">
        <is>
          <t>Bodaimoto (Nara)</t>
        </is>
      </c>
      <c r="B5" s="122" t="inlineStr">
        <is>
          <t>Ancient method with raw rice soyashi</t>
        </is>
      </c>
      <c r="C5" s="123" t="n">
        <v>0.07000000000000001</v>
      </c>
      <c r="D5" s="123" t="n">
        <v>0.4</v>
      </c>
      <c r="E5" s="123" t="n">
        <v>1.3</v>
      </c>
      <c r="F5" s="123" t="n">
        <v>0.7</v>
      </c>
      <c r="G5" s="123" t="n">
        <v>0.3</v>
      </c>
      <c r="H5" s="122" t="inlineStr">
        <is>
          <t>Soyashi mizu (LAB)</t>
        </is>
      </c>
      <c r="I5" s="122" t="inlineStr">
        <is>
          <t>14-21</t>
        </is>
      </c>
      <c r="J5" s="122" t="inlineStr">
        <is>
          <t>Raw rice creates acidic water first</t>
        </is>
      </c>
      <c r="K5" t="n">
        <v>8</v>
      </c>
    </row>
    <row r="6" ht="18" customHeight="1">
      <c r="A6" s="57" t="inlineStr">
        <is>
          <t>Mizumoto (Okayama)</t>
        </is>
      </c>
      <c r="B6" s="136" t="inlineStr">
        <is>
          <t>Variant using koji for soyashi</t>
        </is>
      </c>
      <c r="C6" s="134" t="n">
        <v>0.06</v>
      </c>
      <c r="D6" s="134" t="n">
        <v>0.45</v>
      </c>
      <c r="E6" s="134" t="n">
        <v>1.4</v>
      </c>
      <c r="F6" s="151" t="n">
        <v>0</v>
      </c>
      <c r="G6" s="151" t="n">
        <v>1</v>
      </c>
      <c r="H6" s="136" t="inlineStr">
        <is>
          <t>Koji soyashi</t>
        </is>
      </c>
      <c r="I6" s="136" t="inlineStr">
        <is>
          <t>14-21</t>
        </is>
      </c>
      <c r="J6" s="136" t="inlineStr">
        <is>
          <t>Uses koji instead of raw rice for soyashi</t>
        </is>
      </c>
      <c r="K6" t="n">
        <v>6</v>
      </c>
    </row>
    <row r="7" ht="18" customHeight="1">
      <c r="A7" s="120" t="inlineStr">
        <is>
          <t>Kō-on Tōka</t>
        </is>
      </c>
      <c r="B7" s="122" t="inlineStr">
        <is>
          <t>High-temp saccharification variant</t>
        </is>
      </c>
      <c r="C7" s="123" t="n">
        <v>0.06</v>
      </c>
      <c r="D7" s="123" t="n">
        <v>0.35</v>
      </c>
      <c r="E7" s="123" t="n">
        <v>1.2</v>
      </c>
      <c r="F7" s="152" t="n">
        <v>0</v>
      </c>
      <c r="G7" s="152" t="n">
        <v>1</v>
      </c>
      <c r="H7" s="122" t="inlineStr">
        <is>
          <t>Added + heat</t>
        </is>
      </c>
      <c r="I7" s="122" t="inlineStr">
        <is>
          <t>7-10</t>
        </is>
      </c>
      <c r="J7" s="122" t="inlineStr">
        <is>
          <t>55°C saccharification before cooling</t>
        </is>
      </c>
      <c r="K7" t="n">
        <v>9</v>
      </c>
    </row>
    <row r="8" ht="18" customHeight="1">
      <c r="A8" s="57" t="inlineStr">
        <is>
          <t>Short Kimoto</t>
        </is>
      </c>
      <c r="B8" s="136" t="inlineStr">
        <is>
          <t>Accelerated kimoto-style</t>
        </is>
      </c>
      <c r="C8" s="134" t="n">
        <v>0.07000000000000001</v>
      </c>
      <c r="D8" s="134" t="n">
        <v>0.33</v>
      </c>
      <c r="E8" s="134" t="n">
        <v>1.15</v>
      </c>
      <c r="F8" s="151" t="n">
        <v>0</v>
      </c>
      <c r="G8" s="151" t="n">
        <v>1</v>
      </c>
      <c r="H8" s="136" t="inlineStr">
        <is>
          <t>Natural LAB</t>
        </is>
      </c>
      <c r="I8" s="136" t="inlineStr">
        <is>
          <t>14-18</t>
        </is>
      </c>
      <c r="J8" s="136" t="inlineStr">
        <is>
          <t>Faster than traditional; compromise style</t>
        </is>
      </c>
      <c r="K8" t="n">
        <v>7</v>
      </c>
    </row>
    <row r="9" ht="18" customHeight="1">
      <c r="A9" s="120" t="inlineStr">
        <is>
          <t>Yogurt Sokujo</t>
        </is>
      </c>
      <c r="B9" s="122" t="inlineStr">
        <is>
          <t>Yogurt-based lactic starter</t>
        </is>
      </c>
      <c r="C9" s="123" t="n">
        <v>0.06</v>
      </c>
      <c r="D9" s="123" t="n">
        <v>0.33</v>
      </c>
      <c r="E9" s="123" t="n">
        <v>1.2</v>
      </c>
      <c r="F9" s="152" t="n">
        <v>0</v>
      </c>
      <c r="G9" s="152" t="n">
        <v>1</v>
      </c>
      <c r="H9" s="122" t="inlineStr">
        <is>
          <t>Yogurt LAB</t>
        </is>
      </c>
      <c r="I9" s="122" t="inlineStr">
        <is>
          <t>10-14</t>
        </is>
      </c>
      <c r="J9" s="122" t="inlineStr">
        <is>
          <t>Modern homebrew adaptation</t>
        </is>
      </c>
      <c r="K9" t="n">
        <v>10</v>
      </c>
    </row>
    <row r="10" ht="18" customHeight="1">
      <c r="A10" s="57" t="inlineStr">
        <is>
          <t>1878 Tokyo</t>
        </is>
      </c>
      <c r="B10" s="136" t="inlineStr">
        <is>
          <t>Historical Tokyo brewery method</t>
        </is>
      </c>
      <c r="C10" s="134" t="n">
        <v>0.08699999999999999</v>
      </c>
      <c r="D10" s="134" t="n">
        <v>0.31</v>
      </c>
      <c r="E10" s="134" t="n">
        <v>1.08</v>
      </c>
      <c r="F10" s="136" t="n">
        <v>0</v>
      </c>
      <c r="G10" s="136" t="n">
        <v>1</v>
      </c>
      <c r="H10" s="136" t="inlineStr">
        <is>
          <t>Natural LAB</t>
        </is>
      </c>
      <c r="I10" s="136" t="inlineStr">
        <is>
          <t>18-25</t>
        </is>
      </c>
      <c r="J10" s="136" t="inlineStr">
        <is>
          <t>From 1878 Manufacture of Sake</t>
        </is>
      </c>
      <c r="K10" t="n">
        <v>7</v>
      </c>
    </row>
    <row r="11" ht="18" customHeight="1">
      <c r="A11" s="120" t="inlineStr">
        <is>
          <t>1878 Nagareyama</t>
        </is>
      </c>
      <c r="B11" s="122" t="inlineStr">
        <is>
          <t>Historical high-moto method</t>
        </is>
      </c>
      <c r="C11" s="123" t="n">
        <v>0.099</v>
      </c>
      <c r="D11" s="123" t="n">
        <v>0.33</v>
      </c>
      <c r="E11" s="123" t="n">
        <v>1.1</v>
      </c>
      <c r="F11" s="122" t="n">
        <v>0</v>
      </c>
      <c r="G11" s="122" t="n">
        <v>1</v>
      </c>
      <c r="H11" s="122" t="inlineStr">
        <is>
          <t>Natural LAB</t>
        </is>
      </c>
      <c r="I11" s="122" t="inlineStr">
        <is>
          <t>18-25</t>
        </is>
      </c>
      <c r="J11" s="122" t="inlineStr">
        <is>
          <t>Highest moto% in 1878 records</t>
        </is>
      </c>
      <c r="K11" t="n">
        <v>7</v>
      </c>
    </row>
    <row r="12" ht="18" customHeight="1">
      <c r="A12" s="57" t="inlineStr">
        <is>
          <t>Usage Notes:</t>
        </is>
      </c>
      <c r="B12" s="136" t="n"/>
      <c r="C12" s="38" t="n"/>
      <c r="D12" s="38" t="n"/>
      <c r="E12" s="38" t="n"/>
      <c r="F12" s="38" t="n"/>
      <c r="G12" s="38" t="n"/>
      <c r="H12" s="38" t="n"/>
      <c r="I12" s="38" t="n"/>
      <c r="J12" s="38" t="n"/>
    </row>
    <row r="13" ht="18" customHeight="1">
      <c r="A13" s="120" t="inlineStr">
        <is>
          <t>• Raw Rice % + Steamed Rice % should equal 100% for bodaimoto types</t>
        </is>
      </c>
      <c r="B13" s="122" t="n"/>
      <c r="C13" s="38" t="n"/>
      <c r="D13" s="38" t="n"/>
      <c r="E13" s="38" t="n"/>
      <c r="F13" s="38" t="n"/>
      <c r="G13" s="38" t="n"/>
      <c r="H13" s="38" t="n"/>
      <c r="I13" s="38" t="n"/>
      <c r="J13" s="38" t="n"/>
    </row>
    <row r="14" ht="18" customHeight="1">
      <c r="A14" s="57" t="inlineStr">
        <is>
          <t>• For standard methods (Sokujo, Kimoto, Yamahai), Raw Rice = 0%, Steamed Rice = 100%</t>
        </is>
      </c>
      <c r="B14" s="136" t="n"/>
      <c r="C14" s="38" t="n"/>
      <c r="D14" s="38" t="n"/>
      <c r="E14" s="38" t="n"/>
      <c r="F14" s="38" t="n"/>
      <c r="G14" s="38" t="n"/>
      <c r="H14" s="38" t="n"/>
      <c r="I14" s="38" t="n"/>
      <c r="J14" s="38" t="n"/>
    </row>
    <row r="15" ht="18" customHeight="1">
      <c r="A15" s="120" t="inlineStr">
        <is>
          <t>• Koji % refers to koji as percentage of total moto rice weight</t>
        </is>
      </c>
      <c r="B15" s="122" t="n"/>
      <c r="C15" s="38" t="n"/>
      <c r="D15" s="38" t="n"/>
      <c r="E15" s="38" t="n"/>
      <c r="F15" s="38" t="n"/>
      <c r="G15" s="38" t="n"/>
      <c r="H15" s="38" t="n"/>
      <c r="I15" s="38" t="n"/>
      <c r="J15" s="38" t="n"/>
    </row>
    <row r="16" ht="18" customHeight="1">
      <c r="A16" s="57" t="inlineStr">
        <is>
          <t>• Water % refers to water as percentage of total moto rice weight</t>
        </is>
      </c>
      <c r="B16" s="136" t="n"/>
      <c r="C16" s="38" t="n"/>
      <c r="D16" s="38" t="n"/>
      <c r="E16" s="38" t="n"/>
      <c r="F16" s="38" t="n"/>
      <c r="G16" s="38" t="n"/>
      <c r="H16" s="38" t="n"/>
      <c r="I16" s="38" t="n"/>
      <c r="J16" s="38" t="n"/>
    </row>
    <row r="17" ht="18" customHeight="1">
      <c r="A17" s="120" t="inlineStr">
        <is>
          <t>• These values are reference defaults; adjust per your recipe/preset in Baselines</t>
        </is>
      </c>
      <c r="B17" s="122" t="n"/>
      <c r="C17" s="38" t="n"/>
      <c r="D17" s="38" t="n"/>
      <c r="E17" s="38" t="n"/>
      <c r="F17" s="38" t="n"/>
      <c r="G17" s="38" t="n"/>
      <c r="H17" s="38" t="n"/>
      <c r="I17" s="38" t="n"/>
      <c r="J17" s="38" t="n"/>
    </row>
    <row r="18" ht="15" customHeight="1">
      <c r="A18" t="inlineStr">
        <is>
          <t>Bodaimoto</t>
        </is>
      </c>
      <c r="B18" t="inlineStr">
        <is>
          <t>Ancient Nara method, raw rice soyashimizu</t>
        </is>
      </c>
      <c r="C18" t="n">
        <v>0.07000000000000001</v>
      </c>
      <c r="D18" t="n">
        <v>0.33</v>
      </c>
      <c r="E18" t="n">
        <v>1.1</v>
      </c>
      <c r="F18" t="n">
        <v>0.2</v>
      </c>
      <c r="G18" t="n">
        <v>0.8</v>
      </c>
      <c r="H18" t="inlineStr">
        <is>
          <t>Natural</t>
        </is>
      </c>
      <c r="I18" t="n">
        <v>14</v>
      </c>
      <c r="J18" t="inlineStr">
        <is>
          <t>Traditional lactobacillus fermentation</t>
        </is>
      </c>
      <c r="K18" t="n">
        <v>8</v>
      </c>
    </row>
    <row r="19" ht="15" customHeight="1">
      <c r="A19" t="inlineStr">
        <is>
          <t>Mizumoto</t>
        </is>
      </c>
      <c r="B19" t="inlineStr">
        <is>
          <t>600+ year ancient method</t>
        </is>
      </c>
      <c r="C19" t="n">
        <v>0.07000000000000001</v>
      </c>
      <c r="D19" t="n">
        <v>0.33</v>
      </c>
      <c r="E19" t="n">
        <v>1.1</v>
      </c>
      <c r="F19" t="n">
        <v>0</v>
      </c>
      <c r="G19" t="n">
        <v>1</v>
      </c>
      <c r="H19" t="inlineStr">
        <is>
          <t>Natural</t>
        </is>
      </c>
      <c r="I19" t="n">
        <v>100</v>
      </c>
      <c r="J19" t="inlineStr">
        <is>
          <t>Ultra-traditional wild fermentation</t>
        </is>
      </c>
      <c r="K19" t="n">
        <v>6</v>
      </c>
    </row>
    <row r="20" ht="15" customHeight="1">
      <c r="A20" t="inlineStr">
        <is>
          <t>Kō-on Tōka</t>
        </is>
      </c>
      <c r="B20" t="inlineStr">
        <is>
          <t>High-temp saccharification variant</t>
        </is>
      </c>
      <c r="C20" t="n">
        <v>0.06</v>
      </c>
      <c r="D20" t="n">
        <v>0.35</v>
      </c>
      <c r="E20" t="n">
        <v>1.2</v>
      </c>
      <c r="G20" t="n">
        <v>1</v>
      </c>
      <c r="H20" t="inlineStr">
        <is>
          <t>Added + heat</t>
        </is>
      </c>
      <c r="I20" t="inlineStr">
        <is>
          <t>5-7</t>
        </is>
      </c>
    </row>
    <row r="21" ht="15" customHeight="1">
      <c r="A21" t="inlineStr">
        <is>
          <t>Doburoku (No Moto)</t>
        </is>
      </c>
      <c r="B21" t="inlineStr">
        <is>
          <t>All ingredients at once, no starter</t>
        </is>
      </c>
      <c r="C21" t="n">
        <v>0</v>
      </c>
      <c r="D21" t="n">
        <v>0.2</v>
      </c>
      <c r="E21" t="n">
        <v>1.3</v>
      </c>
      <c r="G21" t="n">
        <v>1</v>
      </c>
      <c r="H21" t="inlineStr">
        <is>
          <t>Added lactic</t>
        </is>
      </c>
      <c r="I21" t="inlineStr">
        <is>
          <t>7-10</t>
        </is>
      </c>
    </row>
    <row r="22" ht="15" customHeight="1">
      <c r="A22" t="inlineStr">
        <is>
          <t>Direct Pitch</t>
        </is>
      </c>
      <c r="B22" t="inlineStr">
        <is>
          <t>No moto, yeast direct to moromi</t>
        </is>
      </c>
      <c r="C22" t="n">
        <v>0</v>
      </c>
      <c r="D22" t="n">
        <v>0.2</v>
      </c>
      <c r="E22" t="n">
        <v>1.3</v>
      </c>
      <c r="G22" t="n">
        <v>1</v>
      </c>
      <c r="H22" t="inlineStr">
        <is>
          <t>Added lactic</t>
        </is>
      </c>
      <c r="I22" t="inlineStr">
        <is>
          <t>0</t>
        </is>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C48"/>
  <sheetViews>
    <sheetView zoomScale="120" zoomScaleNormal="120" workbookViewId="0">
      <selection activeCell="A1" sqref="A1"/>
    </sheetView>
  </sheetViews>
  <sheetFormatPr baseColWidth="10" defaultColWidth="8.83203125" defaultRowHeight="15"/>
  <cols>
    <col width="32" customWidth="1" min="1" max="1"/>
    <col width="26" customWidth="1" min="2" max="2"/>
    <col width="8" customWidth="1" min="3" max="3"/>
    <col width="15" customWidth="1" min="4" max="4"/>
    <col width="34" customWidth="1" min="5" max="5"/>
    <col width="16" customWidth="1" min="6" max="6"/>
    <col width="17" customWidth="1" min="7" max="7"/>
    <col width="19" customWidth="1" min="8" max="8"/>
    <col width="23" customWidth="1" min="9" max="9"/>
    <col width="15" customWidth="1" min="10" max="11"/>
    <col width="8" customWidth="1" min="12" max="12"/>
    <col width="19" customWidth="1" min="13" max="13"/>
    <col width="24" customWidth="1" min="14" max="14"/>
  </cols>
  <sheetData>
    <row r="1" ht="21.75" customHeight="1">
      <c r="A1" s="117" t="inlineStr">
        <is>
          <t>MotoTypes</t>
        </is>
      </c>
      <c r="B1" s="117" t="inlineStr">
        <is>
          <t>KojiStrains</t>
        </is>
      </c>
      <c r="C1" s="113" t="inlineStr">
        <is>
          <t>KojiMoldType</t>
        </is>
      </c>
      <c r="D1" s="117" t="inlineStr">
        <is>
          <t>MotoTypeKey</t>
        </is>
      </c>
      <c r="E1" s="117" t="inlineStr">
        <is>
          <t>MotoDescription</t>
        </is>
      </c>
      <c r="F1" s="117" t="inlineStr">
        <is>
          <t>AcidTypes</t>
        </is>
      </c>
      <c r="G1" s="117" t="inlineStr">
        <is>
          <t>Concentration</t>
        </is>
      </c>
      <c r="H1" s="117" t="inlineStr">
        <is>
          <t>mL per 100L water</t>
        </is>
      </c>
      <c r="I1" s="117" t="inlineStr">
        <is>
          <t>KojiStyles</t>
        </is>
      </c>
      <c r="J1" s="117" t="inlineStr">
        <is>
          <t>LiquidYeastCells</t>
        </is>
      </c>
      <c r="K1" s="117" t="inlineStr">
        <is>
          <t>Vessels</t>
        </is>
      </c>
      <c r="L1" s="117" t="inlineStr">
        <is>
          <t>Liters</t>
        </is>
      </c>
      <c r="M1" s="117" t="inlineStr">
        <is>
          <t>RiceVarieties</t>
        </is>
      </c>
      <c r="N1" s="153" t="inlineStr">
        <is>
          <t>KojiStyles</t>
        </is>
      </c>
      <c r="P1" s="15" t="inlineStr">
        <is>
          <t>RiceVariety</t>
        </is>
      </c>
      <c r="Q1" s="15" t="inlineStr">
        <is>
          <t>G_TP</t>
        </is>
      </c>
      <c r="R1" s="15" t="inlineStr">
        <is>
          <t>P_TP</t>
        </is>
      </c>
      <c r="S1" s="15" t="inlineStr">
        <is>
          <t>G_P</t>
        </is>
      </c>
      <c r="T1" s="15" t="inlineStr">
        <is>
          <t>CrudeProtein90</t>
        </is>
      </c>
      <c r="U1" s="15" t="inlineStr">
        <is>
          <t>Digestibility</t>
        </is>
      </c>
      <c r="V1" t="inlineStr">
        <is>
          <t>KojiMoldType</t>
        </is>
      </c>
      <c r="W1" t="inlineStr">
        <is>
          <t>CitricFactor</t>
        </is>
      </c>
      <c r="X1" t="inlineStr">
        <is>
          <t>KojiMoldDesc</t>
        </is>
      </c>
      <c r="AA1" t="inlineStr">
        <is>
          <t>WaterProfile</t>
        </is>
      </c>
      <c r="AB1" t="inlineStr">
        <is>
          <t>Ca</t>
        </is>
      </c>
      <c r="AC1" t="inlineStr">
        <is>
          <t>Mg</t>
        </is>
      </c>
      <c r="AD1" t="inlineStr">
        <is>
          <t>K</t>
        </is>
      </c>
      <c r="AE1" t="inlineStr">
        <is>
          <t>PO4</t>
        </is>
      </c>
      <c r="AF1" t="inlineStr">
        <is>
          <t>Cl</t>
        </is>
      </c>
      <c r="AG1" t="inlineStr">
        <is>
          <t>SO4</t>
        </is>
      </c>
      <c r="AH1" t="inlineStr">
        <is>
          <t>Na</t>
        </is>
      </c>
      <c r="AI1" t="inlineStr">
        <is>
          <t>Hardness</t>
        </is>
      </c>
      <c r="AK1" t="inlineStr">
        <is>
          <t>SourceWater</t>
        </is>
      </c>
      <c r="AL1" t="inlineStr">
        <is>
          <t>SrcCa</t>
        </is>
      </c>
      <c r="AM1" t="inlineStr">
        <is>
          <t>SrcMg</t>
        </is>
      </c>
      <c r="AN1" t="inlineStr">
        <is>
          <t>SrcK</t>
        </is>
      </c>
      <c r="AO1" t="inlineStr">
        <is>
          <t>SrcNa</t>
        </is>
      </c>
      <c r="AP1" t="inlineStr">
        <is>
          <t>SrcCl</t>
        </is>
      </c>
      <c r="AQ1" t="inlineStr">
        <is>
          <t>SrcSO4</t>
        </is>
      </c>
      <c r="AR1" t="inlineStr">
        <is>
          <t>SrcPO4</t>
        </is>
      </c>
      <c r="AS1" t="inlineStr">
        <is>
          <t>SrcHardness</t>
        </is>
      </c>
      <c r="AT1" t="inlineStr">
        <is>
          <t>SrcFe</t>
        </is>
      </c>
      <c r="AU1" t="inlineStr">
        <is>
          <t>SrcMn</t>
        </is>
      </c>
      <c r="AV1" t="inlineStr">
        <is>
          <t>SrcpH</t>
        </is>
      </c>
      <c r="AW1" t="inlineStr">
        <is>
          <t>ChamberTemp</t>
        </is>
      </c>
      <c r="AX1" t="inlineStr">
        <is>
          <t>KirikaeshiHr</t>
        </is>
      </c>
      <c r="AY1" t="inlineStr">
        <is>
          <t>MoriHr</t>
        </is>
      </c>
      <c r="AZ1" t="inlineStr">
        <is>
          <t>NakaHr</t>
        </is>
      </c>
      <c r="BA1" t="inlineStr">
        <is>
          <t>ShimaiHr</t>
        </is>
      </c>
      <c r="BB1" t="inlineStr">
        <is>
          <t>DekojiHr</t>
        </is>
      </c>
      <c r="BD1" t="inlineStr">
        <is>
          <t>Step#</t>
        </is>
      </c>
      <c r="BE1" t="inlineStr">
        <is>
          <t>Futa_Step</t>
        </is>
      </c>
      <c r="BF1" t="inlineStr">
        <is>
          <t>Futa_Hours</t>
        </is>
      </c>
      <c r="BG1" t="inlineStr">
        <is>
          <t>Futa_Temp</t>
        </is>
      </c>
      <c r="BH1" t="inlineStr">
        <is>
          <t>Futa_Target</t>
        </is>
      </c>
      <c r="BI1" t="inlineStr">
        <is>
          <t>Futa_WeightCalc</t>
        </is>
      </c>
      <c r="BJ1" t="inlineStr">
        <is>
          <t>Step#</t>
        </is>
      </c>
      <c r="BK1" t="inlineStr">
        <is>
          <t>Hako_Step</t>
        </is>
      </c>
      <c r="BL1" t="inlineStr">
        <is>
          <t>Hako_Hours</t>
        </is>
      </c>
      <c r="BM1" t="inlineStr">
        <is>
          <t>Hako_Temp</t>
        </is>
      </c>
      <c r="BN1" t="inlineStr">
        <is>
          <t>Hako_Target</t>
        </is>
      </c>
      <c r="BO1" t="inlineStr">
        <is>
          <t>Hako_WeightCalc</t>
        </is>
      </c>
      <c r="BP1" t="inlineStr">
        <is>
          <t>Step#</t>
        </is>
      </c>
      <c r="BQ1" t="inlineStr">
        <is>
          <t>Ueda_Step</t>
        </is>
      </c>
      <c r="BR1" t="inlineStr">
        <is>
          <t>Ueda_Hours</t>
        </is>
      </c>
      <c r="BS1" t="inlineStr">
        <is>
          <t>Ueda_Temp</t>
        </is>
      </c>
      <c r="BT1" t="inlineStr">
        <is>
          <t>Ueda_Target</t>
        </is>
      </c>
      <c r="BU1" t="inlineStr">
        <is>
          <t>Ueda_WeightCalc</t>
        </is>
      </c>
      <c r="BV1" t="inlineStr">
        <is>
          <t>Step#</t>
        </is>
      </c>
      <c r="BW1" t="inlineStr">
        <is>
          <t>Machine_Step</t>
        </is>
      </c>
      <c r="BX1" t="inlineStr">
        <is>
          <t>Machine_Hours</t>
        </is>
      </c>
      <c r="BY1" t="inlineStr">
        <is>
          <t>Machine_Temp</t>
        </is>
      </c>
      <c r="BZ1" t="inlineStr">
        <is>
          <t>Machine_Target</t>
        </is>
      </c>
      <c r="CA1" t="inlineStr">
        <is>
          <t>Machine_WeightCalc</t>
        </is>
      </c>
      <c r="CB1" t="inlineStr">
        <is>
          <t>MethodMap</t>
        </is>
      </c>
      <c r="CC1" t="inlineStr">
        <is>
          <t>StepCol</t>
        </is>
      </c>
      <c r="CD1" t="inlineStr">
        <is>
          <t>HourCol</t>
        </is>
      </c>
      <c r="CE1" t="inlineStr">
        <is>
          <t>TempCol</t>
        </is>
      </c>
      <c r="CF1" t="inlineStr">
        <is>
          <t>TargetCol</t>
        </is>
      </c>
      <c r="CG1" t="inlineStr">
        <is>
          <t>WeightCol</t>
        </is>
      </c>
      <c r="CH1" t="inlineStr">
        <is>
          <t>Press Method</t>
        </is>
      </c>
      <c r="CI1" t="inlineStr">
        <is>
          <t>Efficiency</t>
        </is>
      </c>
      <c r="CJ1" t="inlineStr">
        <is>
          <t>Step</t>
        </is>
      </c>
      <c r="CK1" t="inlineStr">
        <is>
          <t>Time</t>
        </is>
      </c>
      <c r="CL1" t="inlineStr">
        <is>
          <t>Temp</t>
        </is>
      </c>
      <c r="CM1" t="inlineStr">
        <is>
          <t>pH</t>
        </is>
      </c>
      <c r="CN1" t="inlineStr">
        <is>
          <t>Target</t>
        </is>
      </c>
      <c r="CO1" t="inlineStr">
        <is>
          <t>Step</t>
        </is>
      </c>
      <c r="CP1" t="inlineStr">
        <is>
          <t>Time</t>
        </is>
      </c>
      <c r="CQ1" t="inlineStr">
        <is>
          <t>Temp</t>
        </is>
      </c>
      <c r="CR1" t="inlineStr">
        <is>
          <t>pH</t>
        </is>
      </c>
      <c r="CS1" t="inlineStr">
        <is>
          <t>Target</t>
        </is>
      </c>
      <c r="CT1" t="inlineStr">
        <is>
          <t>Step</t>
        </is>
      </c>
      <c r="CU1" t="inlineStr">
        <is>
          <t>Time</t>
        </is>
      </c>
      <c r="CV1" t="inlineStr">
        <is>
          <t>Temp</t>
        </is>
      </c>
      <c r="CW1" t="inlineStr">
        <is>
          <t>pH</t>
        </is>
      </c>
      <c r="CX1" t="inlineStr">
        <is>
          <t>Target</t>
        </is>
      </c>
      <c r="CY1" t="inlineStr">
        <is>
          <t>Step</t>
        </is>
      </c>
      <c r="CZ1" t="inlineStr">
        <is>
          <t>Time</t>
        </is>
      </c>
      <c r="DA1" t="inlineStr">
        <is>
          <t>Temp</t>
        </is>
      </c>
      <c r="DB1" t="inlineStr">
        <is>
          <t>pH</t>
        </is>
      </c>
      <c r="DC1" t="inlineStr">
        <is>
          <t>Target</t>
        </is>
      </c>
      <c r="DD1" t="inlineStr">
        <is>
          <t>MotoMethodMap</t>
        </is>
      </c>
      <c r="DE1" t="inlineStr">
        <is>
          <t>StepCol</t>
        </is>
      </c>
      <c r="DF1" t="inlineStr">
        <is>
          <t>HourCol</t>
        </is>
      </c>
      <c r="DG1" t="inlineStr">
        <is>
          <t>TempCol</t>
        </is>
      </c>
      <c r="DH1" t="inlineStr">
        <is>
          <t>pHCol</t>
        </is>
      </c>
      <c r="DI1" t="inlineStr">
        <is>
          <t>TargetCol</t>
        </is>
      </c>
      <c r="DJ1" t="inlineStr">
        <is>
          <t>Step</t>
        </is>
      </c>
      <c r="DK1" t="inlineStr">
        <is>
          <t>Time</t>
        </is>
      </c>
      <c r="DL1" t="inlineStr">
        <is>
          <t>Temp</t>
        </is>
      </c>
      <c r="DM1" t="inlineStr">
        <is>
          <t>pH</t>
        </is>
      </c>
      <c r="DN1" t="inlineStr">
        <is>
          <t>Target</t>
        </is>
      </c>
      <c r="DO1" t="inlineStr">
        <is>
          <t>Step</t>
        </is>
      </c>
      <c r="DP1" t="inlineStr">
        <is>
          <t>Time</t>
        </is>
      </c>
      <c r="DQ1" t="inlineStr">
        <is>
          <t>Temp</t>
        </is>
      </c>
      <c r="DR1" t="inlineStr">
        <is>
          <t>pH</t>
        </is>
      </c>
      <c r="DS1" t="inlineStr">
        <is>
          <t>Target</t>
        </is>
      </c>
      <c r="DT1" t="inlineStr">
        <is>
          <t>Step</t>
        </is>
      </c>
      <c r="DU1" t="inlineStr">
        <is>
          <t>Time</t>
        </is>
      </c>
      <c r="DV1" t="inlineStr">
        <is>
          <t>Temp</t>
        </is>
      </c>
      <c r="DW1" t="inlineStr">
        <is>
          <t>pH</t>
        </is>
      </c>
      <c r="DX1" t="inlineStr">
        <is>
          <t>Target</t>
        </is>
      </c>
      <c r="EA1" t="inlineStr">
        <is>
          <t>MoromiMethodMap</t>
        </is>
      </c>
      <c r="EB1" t="inlineStr">
        <is>
          <t>StepCol</t>
        </is>
      </c>
      <c r="EC1" t="inlineStr">
        <is>
          <t>TimeCol</t>
        </is>
      </c>
      <c r="ED1" t="inlineStr">
        <is>
          <t>TempCol</t>
        </is>
      </c>
      <c r="EE1" t="inlineStr">
        <is>
          <t>FoamCol</t>
        </is>
      </c>
      <c r="EF1" t="inlineStr">
        <is>
          <t>TargetCol</t>
        </is>
      </c>
      <c r="EG1" t="inlineStr">
        <is>
          <t>Step</t>
        </is>
      </c>
      <c r="EH1" t="inlineStr">
        <is>
          <t>Time</t>
        </is>
      </c>
      <c r="EI1" t="inlineStr">
        <is>
          <t>Temp</t>
        </is>
      </c>
      <c r="EJ1" t="inlineStr">
        <is>
          <t>Foam</t>
        </is>
      </c>
      <c r="EK1" t="inlineStr">
        <is>
          <t>Target</t>
        </is>
      </c>
      <c r="EM1" t="inlineStr">
        <is>
          <t>Step</t>
        </is>
      </c>
      <c r="EN1" t="inlineStr">
        <is>
          <t>Time</t>
        </is>
      </c>
      <c r="EO1" t="inlineStr">
        <is>
          <t>Temp</t>
        </is>
      </c>
      <c r="EP1" t="inlineStr">
        <is>
          <t>Foam</t>
        </is>
      </c>
      <c r="EQ1" t="inlineStr">
        <is>
          <t>Target</t>
        </is>
      </c>
      <c r="ES1" t="inlineStr">
        <is>
          <t>Step</t>
        </is>
      </c>
      <c r="ET1" t="inlineStr">
        <is>
          <t>Time</t>
        </is>
      </c>
      <c r="EU1" t="inlineStr">
        <is>
          <t>Temp</t>
        </is>
      </c>
      <c r="EV1" t="inlineStr">
        <is>
          <t>Foam</t>
        </is>
      </c>
      <c r="EW1" t="inlineStr">
        <is>
          <t>Target</t>
        </is>
      </c>
      <c r="EX1" t="inlineStr">
        <is>
          <t>PolishRatios</t>
        </is>
      </c>
      <c r="EY1" t="inlineStr">
        <is>
          <t>Step</t>
        </is>
      </c>
      <c r="EZ1" t="inlineStr">
        <is>
          <t>Time</t>
        </is>
      </c>
      <c r="FA1" t="inlineStr">
        <is>
          <t>Temp</t>
        </is>
      </c>
      <c r="FB1" t="inlineStr">
        <is>
          <t>Foam</t>
        </is>
      </c>
      <c r="FC1" t="inlineStr">
        <is>
          <t>Target</t>
        </is>
      </c>
    </row>
    <row r="2" ht="18" customHeight="1">
      <c r="A2" t="inlineStr">
        <is>
          <t>Select ▽</t>
        </is>
      </c>
      <c r="B2" t="inlineStr">
        <is>
          <t>Select</t>
        </is>
      </c>
      <c r="F2" t="inlineStr">
        <is>
          <t>Select</t>
        </is>
      </c>
      <c r="G2" t="inlineStr">
        <is>
          <t>Select</t>
        </is>
      </c>
      <c r="H2" t="n">
        <v>0</v>
      </c>
      <c r="I2" t="inlineStr">
        <is>
          <t>Select</t>
        </is>
      </c>
      <c r="M2" t="inlineStr">
        <is>
          <t>Select</t>
        </is>
      </c>
      <c r="P2" t="inlineStr">
        <is>
          <t>Select</t>
        </is>
      </c>
      <c r="V2" t="inlineStr">
        <is>
          <t>Select</t>
        </is>
      </c>
      <c r="W2" t="n">
        <v>0</v>
      </c>
      <c r="AA2" t="inlineStr">
        <is>
          <t>Select</t>
        </is>
      </c>
      <c r="AK2" t="inlineStr">
        <is>
          <t>Select</t>
        </is>
      </c>
      <c r="BD2" t="n">
        <v>1</v>
      </c>
      <c r="BE2" t="inlineStr">
        <is>
          <t>Wash rice</t>
        </is>
      </c>
      <c r="BF2" t="n">
        <v>-24</v>
      </c>
      <c r="BG2" t="inlineStr">
        <is>
          <t>Ambient</t>
        </is>
      </c>
      <c r="BH2" t="inlineStr">
        <is>
          <t>Remove bran</t>
        </is>
      </c>
      <c r="BJ2" t="n">
        <v>1</v>
      </c>
      <c r="BK2" t="inlineStr">
        <is>
          <t>Wash rice</t>
        </is>
      </c>
      <c r="BL2" t="n">
        <v>-24</v>
      </c>
      <c r="BM2" t="inlineStr">
        <is>
          <t>Ambient</t>
        </is>
      </c>
      <c r="BN2" t="inlineStr">
        <is>
          <t>Remove bran</t>
        </is>
      </c>
      <c r="BP2" t="n">
        <v>1</v>
      </c>
      <c r="BQ2" t="inlineStr">
        <is>
          <t>Wash rice</t>
        </is>
      </c>
      <c r="BR2" t="n">
        <v>-24</v>
      </c>
      <c r="BS2" t="inlineStr">
        <is>
          <t>Ambient</t>
        </is>
      </c>
      <c r="BT2" t="inlineStr">
        <is>
          <t>Remove bran</t>
        </is>
      </c>
      <c r="BV2" t="n">
        <v>1</v>
      </c>
      <c r="BW2" t="inlineStr">
        <is>
          <t>Wash rice</t>
        </is>
      </c>
      <c r="BX2" t="n">
        <v>-24</v>
      </c>
      <c r="BY2" t="inlineStr">
        <is>
          <t>Ambient</t>
        </is>
      </c>
      <c r="BZ2" t="inlineStr">
        <is>
          <t>Remove bran</t>
        </is>
      </c>
      <c r="CB2" t="inlineStr">
        <is>
          <t>Select</t>
        </is>
      </c>
      <c r="CH2" t="inlineStr">
        <is>
          <t>Select</t>
        </is>
      </c>
      <c r="CJ2" t="inlineStr">
        <is>
          <t>Mix ingredients</t>
        </is>
      </c>
      <c r="CK2" t="inlineStr">
        <is>
          <t>Start</t>
        </is>
      </c>
      <c r="CL2" t="inlineStr">
        <is>
          <t>12°C</t>
        </is>
      </c>
      <c r="CM2" t="inlineStr">
        <is>
          <t>6.0-6.5</t>
        </is>
      </c>
      <c r="CN2" t="inlineStr">
        <is>
          <t>Combine koji, rice, water, acid</t>
        </is>
      </c>
      <c r="CO2" t="inlineStr">
        <is>
          <t>Temoto (pre-mix)</t>
        </is>
      </c>
      <c r="CP2" t="inlineStr">
        <is>
          <t>Start</t>
        </is>
      </c>
      <c r="CQ2" t="inlineStr">
        <is>
          <t>5-6°C</t>
        </is>
      </c>
      <c r="CR2" t="inlineStr">
        <is>
          <t>6.0-6.5</t>
        </is>
      </c>
      <c r="CS2" t="inlineStr">
        <is>
          <t>Divide into hangiri tubs</t>
        </is>
      </c>
      <c r="CT2" t="inlineStr">
        <is>
          <t>Mix ingredients</t>
        </is>
      </c>
      <c r="CU2" t="inlineStr">
        <is>
          <t>Start</t>
        </is>
      </c>
      <c r="CV2" t="inlineStr">
        <is>
          <t>12-15°C</t>
        </is>
      </c>
      <c r="CW2" t="inlineStr">
        <is>
          <t>6.0-6.5</t>
        </is>
      </c>
      <c r="CX2" t="inlineStr">
        <is>
          <t>Combine, extra water</t>
        </is>
      </c>
      <c r="CY2" t="inlineStr">
        <is>
          <t>Soak raw rice</t>
        </is>
      </c>
      <c r="CZ2" t="inlineStr">
        <is>
          <t>Start</t>
        </is>
      </c>
      <c r="DA2" t="inlineStr">
        <is>
          <t>20-25°C</t>
        </is>
      </c>
      <c r="DB2" t="inlineStr">
        <is>
          <t>6.5-6.0</t>
        </is>
      </c>
      <c r="DC2" t="inlineStr">
        <is>
          <t>Raw rice in water</t>
        </is>
      </c>
      <c r="DD2" t="inlineStr">
        <is>
          <t>Select</t>
        </is>
      </c>
      <c r="DJ2" t="inlineStr">
        <is>
          <t>Yamaoroshi (mix)</t>
        </is>
      </c>
      <c r="DK2" t="inlineStr">
        <is>
          <t>Start</t>
        </is>
      </c>
      <c r="DL2" t="inlineStr">
        <is>
          <t>30-40°C</t>
        </is>
      </c>
      <c r="DM2" t="inlineStr">
        <is>
          <t>6.0-5.5</t>
        </is>
      </c>
      <c r="DN2" t="inlineStr">
        <is>
          <t>Homogenize rice/koji</t>
        </is>
      </c>
      <c r="DO2" t="inlineStr">
        <is>
          <t>Combine all</t>
        </is>
      </c>
      <c r="DP2" t="inlineStr">
        <is>
          <t>Start</t>
        </is>
      </c>
      <c r="DQ2" t="inlineStr">
        <is>
          <t>20-25°C</t>
        </is>
      </c>
      <c r="DR2" t="inlineStr">
        <is>
          <t>6.0-6.5</t>
        </is>
      </c>
      <c r="DS2" t="inlineStr">
        <is>
          <t>Rice, koji, water, yeast</t>
        </is>
      </c>
      <c r="DT2" t="inlineStr">
        <is>
          <t>Build moromi</t>
        </is>
      </c>
      <c r="DU2" t="inlineStr">
        <is>
          <t>Start</t>
        </is>
      </c>
      <c r="DV2" t="inlineStr">
        <is>
          <t>12-15°C</t>
        </is>
      </c>
      <c r="DW2" t="inlineStr">
        <is>
          <t>4.0-4.5</t>
        </is>
      </c>
      <c r="DX2" t="inlineStr">
        <is>
          <t>Add acid to water</t>
        </is>
      </c>
      <c r="EA2" t="inlineStr">
        <is>
          <t>Select</t>
        </is>
      </c>
      <c r="EG2" t="inlineStr">
        <is>
          <t>Soe (1st addition)</t>
        </is>
      </c>
      <c r="EH2" t="inlineStr">
        <is>
          <t>Day 0</t>
        </is>
      </c>
      <c r="EI2" t="inlineStr">
        <is>
          <t>10-12°C</t>
        </is>
      </c>
      <c r="EJ2" t="inlineStr">
        <is>
          <t>-</t>
        </is>
      </c>
      <c r="EK2" t="inlineStr">
        <is>
          <t>Add moto + rice + koji + water</t>
        </is>
      </c>
      <c r="EM2" t="inlineStr">
        <is>
          <t>Soe (1st addition)</t>
        </is>
      </c>
      <c r="EN2" t="inlineStr">
        <is>
          <t>Day 0</t>
        </is>
      </c>
      <c r="EO2" t="inlineStr">
        <is>
          <t>8-10°C</t>
        </is>
      </c>
      <c r="EP2" t="inlineStr">
        <is>
          <t>-</t>
        </is>
      </c>
      <c r="EQ2" t="inlineStr">
        <is>
          <t>Add moto + rice + koji + water</t>
        </is>
      </c>
      <c r="ES2" t="inlineStr">
        <is>
          <t>Soe (1st addition)</t>
        </is>
      </c>
      <c r="ET2" t="inlineStr">
        <is>
          <t>Day 0</t>
        </is>
      </c>
      <c r="EU2" t="inlineStr">
        <is>
          <t>6-8°C</t>
        </is>
      </c>
      <c r="EV2" t="inlineStr">
        <is>
          <t>-</t>
        </is>
      </c>
      <c r="EW2" t="inlineStr">
        <is>
          <t>Cold start, small addition</t>
        </is>
      </c>
      <c r="EX2" t="inlineStr">
        <is>
          <t>Select</t>
        </is>
      </c>
      <c r="EY2" t="inlineStr">
        <is>
          <t>Soe (1st addition)</t>
        </is>
      </c>
      <c r="EZ2" t="inlineStr">
        <is>
          <t>Day 0</t>
        </is>
      </c>
      <c r="FA2" t="inlineStr">
        <is>
          <t>14-16°C</t>
        </is>
      </c>
      <c r="FB2" t="inlineStr">
        <is>
          <t>-</t>
        </is>
      </c>
      <c r="FC2" t="inlineStr">
        <is>
          <t>Warm start</t>
        </is>
      </c>
    </row>
    <row r="3" ht="18" customHeight="1">
      <c r="A3" s="57" t="inlineStr">
        <is>
          <t>Sokujo (lactic acid)</t>
        </is>
      </c>
      <c r="B3" s="136" t="inlineStr">
        <is>
          <t>Higuchi Kaori (Yellow)</t>
        </is>
      </c>
      <c r="C3" s="38" t="inlineStr">
        <is>
          <t>Yellow</t>
        </is>
      </c>
      <c r="D3" s="38" t="n"/>
      <c r="E3" s="38" t="n"/>
      <c r="F3" s="38" t="inlineStr">
        <is>
          <t>Natural</t>
        </is>
      </c>
      <c r="G3" s="38" t="inlineStr">
        <is>
          <t>Natural lactic acid generation</t>
        </is>
      </c>
      <c r="H3" s="38" t="n"/>
      <c r="I3" s="38" t="inlineStr">
        <is>
          <t>Select</t>
        </is>
      </c>
      <c r="J3" s="38" t="inlineStr">
        <is>
          <t>Select</t>
        </is>
      </c>
      <c r="K3" s="136" t="inlineStr">
        <is>
          <t>Select</t>
        </is>
      </c>
      <c r="L3" s="136" t="n">
        <v>0</v>
      </c>
      <c r="M3" s="136" t="inlineStr">
        <is>
          <t>Yamadanishiki</t>
        </is>
      </c>
      <c r="N3" s="136" t="inlineStr">
        <is>
          <t>Select</t>
        </is>
      </c>
      <c r="P3" s="124" t="inlineStr">
        <is>
          <t>Yamadanishiki</t>
        </is>
      </c>
      <c r="Q3" s="124" t="n">
        <v>0.45</v>
      </c>
      <c r="R3" s="124" t="n">
        <v>0.2</v>
      </c>
      <c r="S3" s="124" t="n">
        <v>2.25</v>
      </c>
      <c r="T3" s="124" t="n">
        <v>6.5</v>
      </c>
      <c r="U3" s="124" t="inlineStr">
        <is>
          <t>King of sake rice - low protein, high glutelin, large shinpaku</t>
        </is>
      </c>
      <c r="V3" s="124" t="inlineStr">
        <is>
          <t>Yellow</t>
        </is>
      </c>
      <c r="W3" s="124" t="n">
        <v>1</v>
      </c>
      <c r="X3" t="inlineStr">
        <is>
          <t>Negligible citric acid, standard sake</t>
        </is>
      </c>
      <c r="AA3" t="inlineStr">
        <is>
          <t>Ginjo/Daiginjo (soft)</t>
        </is>
      </c>
      <c r="AB3" t="n">
        <v>10</v>
      </c>
      <c r="AC3" t="n">
        <v>3</v>
      </c>
      <c r="AD3" t="n">
        <v>8</v>
      </c>
      <c r="AE3" t="n">
        <v>3</v>
      </c>
      <c r="AF3" t="n">
        <v>5</v>
      </c>
      <c r="AG3" t="n">
        <v>5</v>
      </c>
      <c r="AH3" t="n">
        <v>5</v>
      </c>
      <c r="AI3" t="n">
        <v>35</v>
      </c>
      <c r="AK3" t="inlineStr">
        <is>
          <t>Japan: Nada (Miyamizu)</t>
        </is>
      </c>
      <c r="AL3" t="n">
        <v>38</v>
      </c>
      <c r="AM3" t="n">
        <v>6</v>
      </c>
      <c r="AN3" t="n">
        <v>20</v>
      </c>
      <c r="AO3" t="n">
        <v>32</v>
      </c>
      <c r="AP3" t="n">
        <v>32</v>
      </c>
      <c r="AQ3" t="n">
        <v>24</v>
      </c>
      <c r="AR3" t="n">
        <v>5</v>
      </c>
      <c r="AS3" t="n">
        <v>130</v>
      </c>
      <c r="AT3" t="n">
        <v>0.003</v>
      </c>
      <c r="AU3" t="n">
        <v>0.006</v>
      </c>
      <c r="AV3" t="n">
        <v>7.2</v>
      </c>
      <c r="AW3" t="inlineStr">
        <is>
          <t>32-35°C</t>
        </is>
      </c>
      <c r="AX3" t="n">
        <v>12</v>
      </c>
      <c r="AY3" t="n">
        <v>21</v>
      </c>
      <c r="AZ3" t="n">
        <v>28</v>
      </c>
      <c r="BA3" t="n">
        <v>36</v>
      </c>
      <c r="BB3" t="n">
        <v>48</v>
      </c>
      <c r="BD3" t="n">
        <v>2</v>
      </c>
      <c r="BE3" t="inlineStr">
        <is>
          <t>Soak rice</t>
        </is>
      </c>
      <c r="BF3" t="n">
        <v>-4</v>
      </c>
      <c r="BG3" t="inlineStr">
        <is>
          <t>10-15°C</t>
        </is>
      </c>
      <c r="BH3" t="inlineStr">
        <is>
          <t>Absorb 28-32%</t>
        </is>
      </c>
      <c r="BI3" t="inlineStr">
        <is>
          <t>Dry × 1.30</t>
        </is>
      </c>
      <c r="BJ3" t="n">
        <v>2</v>
      </c>
      <c r="BK3" t="inlineStr">
        <is>
          <t>Soak rice</t>
        </is>
      </c>
      <c r="BL3" t="n">
        <v>-4</v>
      </c>
      <c r="BM3" t="inlineStr">
        <is>
          <t>10-15°C</t>
        </is>
      </c>
      <c r="BN3" t="inlineStr">
        <is>
          <t>Absorb 28-32%</t>
        </is>
      </c>
      <c r="BO3" t="inlineStr">
        <is>
          <t>Dry × 1.30</t>
        </is>
      </c>
      <c r="BP3" t="n">
        <v>2</v>
      </c>
      <c r="BQ3" t="inlineStr">
        <is>
          <t>Soak rice</t>
        </is>
      </c>
      <c r="BR3" t="n">
        <v>-4</v>
      </c>
      <c r="BS3" t="inlineStr">
        <is>
          <t>10-15°C</t>
        </is>
      </c>
      <c r="BT3" t="inlineStr">
        <is>
          <t>Absorb 28-32%</t>
        </is>
      </c>
      <c r="BU3" t="inlineStr">
        <is>
          <t>Dry × 1.30</t>
        </is>
      </c>
      <c r="BV3" t="n">
        <v>2</v>
      </c>
      <c r="BW3" t="inlineStr">
        <is>
          <t>Soak rice</t>
        </is>
      </c>
      <c r="BX3" t="n">
        <v>-4</v>
      </c>
      <c r="BY3" t="inlineStr">
        <is>
          <t>10-15°C</t>
        </is>
      </c>
      <c r="BZ3" t="inlineStr">
        <is>
          <t>Absorb 28-32%</t>
        </is>
      </c>
      <c r="CA3" t="inlineStr">
        <is>
          <t>Dry × 1.30</t>
        </is>
      </c>
      <c r="CB3" t="inlineStr">
        <is>
          <t>Futa-koji (Tray)</t>
        </is>
      </c>
      <c r="CC3" t="n">
        <v>57</v>
      </c>
      <c r="CD3" t="n">
        <v>58</v>
      </c>
      <c r="CE3" t="n">
        <v>59</v>
      </c>
      <c r="CF3" t="n">
        <v>60</v>
      </c>
      <c r="CG3" t="n">
        <v>61</v>
      </c>
      <c r="CH3" t="inlineStr">
        <is>
          <t>Shizuku (drip)</t>
        </is>
      </c>
      <c r="CI3" t="n">
        <v>0.55</v>
      </c>
      <c r="CJ3" t="inlineStr">
        <is>
          <t>Daki (warm)</t>
        </is>
      </c>
      <c r="CK3" t="inlineStr">
        <is>
          <t>+12 hrs</t>
        </is>
      </c>
      <c r="CL3" t="inlineStr">
        <is>
          <t>15-18°C</t>
        </is>
      </c>
      <c r="CM3" t="inlineStr">
        <is>
          <t>5.5-6.0</t>
        </is>
      </c>
      <c r="CN3" t="inlineStr">
        <is>
          <t>Warm slowly, enzymes active</t>
        </is>
      </c>
      <c r="CO3" t="inlineStr">
        <is>
          <t>Yamaoroshi Day 1</t>
        </is>
      </c>
      <c r="CP3" t="inlineStr">
        <is>
          <t>Day 1</t>
        </is>
      </c>
      <c r="CQ3" t="inlineStr">
        <is>
          <t>5-6°C</t>
        </is>
      </c>
      <c r="CR3" t="inlineStr">
        <is>
          <t>6.0-5.8</t>
        </is>
      </c>
      <c r="CS3" t="inlineStr">
        <is>
          <t>Pole grind every 2-4 hrs</t>
        </is>
      </c>
      <c r="CT3" t="inlineStr">
        <is>
          <t>Cold hold start</t>
        </is>
      </c>
      <c r="CU3" t="inlineStr">
        <is>
          <t>Day 1</t>
        </is>
      </c>
      <c r="CV3" t="inlineStr">
        <is>
          <t>8-10°C</t>
        </is>
      </c>
      <c r="CW3" t="inlineStr">
        <is>
          <t>5.8-5.5</t>
        </is>
      </c>
      <c r="CX3" t="inlineStr">
        <is>
          <t>Begin cold phase</t>
        </is>
      </c>
      <c r="CY3" t="inlineStr">
        <is>
          <t>Soyashi Day 3</t>
        </is>
      </c>
      <c r="CZ3" t="inlineStr">
        <is>
          <t>Day 3</t>
        </is>
      </c>
      <c r="DA3" t="inlineStr">
        <is>
          <t>20-25°C</t>
        </is>
      </c>
      <c r="DB3" t="inlineStr">
        <is>
          <t>5.5-5.0</t>
        </is>
      </c>
      <c r="DC3" t="inlineStr">
        <is>
          <t>LAB developing</t>
        </is>
      </c>
      <c r="DD3" t="inlineStr">
        <is>
          <t>Sokujo</t>
        </is>
      </c>
      <c r="DE3" t="n">
        <v>88</v>
      </c>
      <c r="DF3" t="n">
        <v>89</v>
      </c>
      <c r="DG3" t="n">
        <v>90</v>
      </c>
      <c r="DH3" t="n">
        <v>91</v>
      </c>
      <c r="DI3" t="n">
        <v>92</v>
      </c>
      <c r="DJ3" t="inlineStr">
        <is>
          <t>Kō-on Tōka</t>
        </is>
      </c>
      <c r="DK3" t="inlineStr">
        <is>
          <t>+2 hrs</t>
        </is>
      </c>
      <c r="DL3" t="inlineStr">
        <is>
          <t>55°C</t>
        </is>
      </c>
      <c r="DM3" t="inlineStr">
        <is>
          <t>5.5-6.0</t>
        </is>
      </c>
      <c r="DN3" t="inlineStr">
        <is>
          <t>High temp 6-8 hrs</t>
        </is>
      </c>
      <c r="DO3" t="inlineStr">
        <is>
          <t>Initial ferment</t>
        </is>
      </c>
      <c r="DP3" t="inlineStr">
        <is>
          <t>Day 1</t>
        </is>
      </c>
      <c r="DQ3" t="inlineStr">
        <is>
          <t>18-22°C</t>
        </is>
      </c>
      <c r="DR3" t="inlineStr">
        <is>
          <t>5.5-5.0</t>
        </is>
      </c>
      <c r="DS3" t="inlineStr">
        <is>
          <t>Fermentation begins</t>
        </is>
      </c>
      <c r="DT3" t="inlineStr">
        <is>
          <t>Add rice/koji</t>
        </is>
      </c>
      <c r="DU3" t="inlineStr">
        <is>
          <t>+2 hrs</t>
        </is>
      </c>
      <c r="DV3" t="inlineStr">
        <is>
          <t>12-15°C</t>
        </is>
      </c>
      <c r="DW3" t="inlineStr">
        <is>
          <t>4.0-4.5</t>
        </is>
      </c>
      <c r="DX3" t="inlineStr">
        <is>
          <t>Standard moromi build</t>
        </is>
      </c>
      <c r="EA3" t="inlineStr">
        <is>
          <t>Standard (20-25 days)</t>
        </is>
      </c>
      <c r="EB3" t="n">
        <v>137</v>
      </c>
      <c r="EC3" t="n">
        <v>138</v>
      </c>
      <c r="ED3" t="n">
        <v>139</v>
      </c>
      <c r="EE3" t="n">
        <v>140</v>
      </c>
      <c r="EF3" t="n">
        <v>141</v>
      </c>
      <c r="EG3" t="inlineStr">
        <is>
          <t>Odori (rest)</t>
        </is>
      </c>
      <c r="EH3" t="inlineStr">
        <is>
          <t>Day 1</t>
        </is>
      </c>
      <c r="EI3" t="inlineStr">
        <is>
          <t>10-12°C</t>
        </is>
      </c>
      <c r="EJ3" t="inlineStr">
        <is>
          <t>-</t>
        </is>
      </c>
      <c r="EK3" t="inlineStr">
        <is>
          <t>No addition, let yeast adjust</t>
        </is>
      </c>
      <c r="EM3" t="inlineStr">
        <is>
          <t>Odori (rest)</t>
        </is>
      </c>
      <c r="EN3" t="inlineStr">
        <is>
          <t>Day 1</t>
        </is>
      </c>
      <c r="EO3" t="inlineStr">
        <is>
          <t>8-10°C</t>
        </is>
      </c>
      <c r="EP3" t="inlineStr">
        <is>
          <t>-</t>
        </is>
      </c>
      <c r="EQ3" t="inlineStr">
        <is>
          <t>No addition, yeast adjust</t>
        </is>
      </c>
      <c r="ES3" t="inlineStr">
        <is>
          <t>Odori (rest)</t>
        </is>
      </c>
      <c r="ET3" t="inlineStr">
        <is>
          <t>Day 1</t>
        </is>
      </c>
      <c r="EU3" t="inlineStr">
        <is>
          <t>6-8°C</t>
        </is>
      </c>
      <c r="EV3" t="inlineStr">
        <is>
          <t>-</t>
        </is>
      </c>
      <c r="EW3" t="inlineStr">
        <is>
          <t>Extended rest</t>
        </is>
      </c>
      <c r="EX3" t="n">
        <v>35</v>
      </c>
      <c r="EY3" t="inlineStr">
        <is>
          <t>Odori (rest)</t>
        </is>
      </c>
      <c r="EZ3" t="inlineStr">
        <is>
          <t>Day 1</t>
        </is>
      </c>
      <c r="FA3" t="inlineStr">
        <is>
          <t>14-16°C</t>
        </is>
      </c>
      <c r="FB3" t="inlineStr">
        <is>
          <t>-</t>
        </is>
      </c>
      <c r="FC3" t="inlineStr">
        <is>
          <t>Short rest</t>
        </is>
      </c>
    </row>
    <row r="4" ht="18" customHeight="1">
      <c r="A4" s="120" t="inlineStr">
        <is>
          <t>Kimoto</t>
        </is>
      </c>
      <c r="B4" s="122" t="inlineStr">
        <is>
          <t>Higuchi Ginjo #7 (Yellow)</t>
        </is>
      </c>
      <c r="C4" s="38" t="inlineStr">
        <is>
          <t>Yellow</t>
        </is>
      </c>
      <c r="D4" s="122" t="inlineStr">
        <is>
          <t>Sokujo</t>
        </is>
      </c>
      <c r="E4" s="122" t="inlineStr">
        <is>
          <t>Fast method - lactic acid added</t>
        </is>
      </c>
      <c r="F4" s="122" t="inlineStr">
        <is>
          <t>Select</t>
        </is>
      </c>
      <c r="G4" s="122" t="inlineStr">
        <is>
          <t>75%</t>
        </is>
      </c>
      <c r="H4" s="122" t="inlineStr">
        <is>
          <t>650-700</t>
        </is>
      </c>
      <c r="I4" s="122" t="inlineStr">
        <is>
          <t>Tsuki-haze (Spotty)</t>
        </is>
      </c>
      <c r="J4" s="122" t="inlineStr">
        <is>
          <t>10B cells/mL (Wyeast)</t>
        </is>
      </c>
      <c r="K4" s="122" t="inlineStr">
        <is>
          <t>5 gal bucket</t>
        </is>
      </c>
      <c r="L4" s="122" t="n">
        <v>19</v>
      </c>
      <c r="M4" s="122" t="inlineStr">
        <is>
          <t>Gohyakumangoku</t>
        </is>
      </c>
      <c r="N4" s="122" t="inlineStr">
        <is>
          <t>Tsuki-haze (Ginjo)</t>
        </is>
      </c>
      <c r="P4" s="125" t="inlineStr">
        <is>
          <t>Gohyakumangoku</t>
        </is>
      </c>
      <c r="Q4" s="125" t="n">
        <v>0.5</v>
      </c>
      <c r="R4" s="125" t="n">
        <v>0.21</v>
      </c>
      <c r="S4" s="125" t="n">
        <v>2.38</v>
      </c>
      <c r="T4" s="125" t="n">
        <v>7.2</v>
      </c>
      <c r="U4" s="125" t="inlineStr">
        <is>
          <t>Clean, light style - highest glutelin release</t>
        </is>
      </c>
      <c r="V4" s="125" t="inlineStr">
        <is>
          <t>White</t>
        </is>
      </c>
      <c r="W4" s="125" t="n">
        <v>5.1</v>
      </c>
      <c r="X4" t="inlineStr">
        <is>
          <t>High citric acid, fresh/tart character</t>
        </is>
      </c>
      <c r="AA4" t="inlineStr">
        <is>
          <t>Junmai (medium)</t>
        </is>
      </c>
      <c r="AB4" t="n">
        <v>25</v>
      </c>
      <c r="AC4" t="n">
        <v>5</v>
      </c>
      <c r="AD4" t="n">
        <v>15</v>
      </c>
      <c r="AE4" t="n">
        <v>4</v>
      </c>
      <c r="AF4" t="n">
        <v>15</v>
      </c>
      <c r="AG4" t="n">
        <v>12</v>
      </c>
      <c r="AH4" t="n">
        <v>15</v>
      </c>
      <c r="AI4" t="n">
        <v>85</v>
      </c>
      <c r="AK4" t="inlineStr">
        <is>
          <t>Japan: Fushimi (Kyoto)</t>
        </is>
      </c>
      <c r="AL4" t="n">
        <v>25</v>
      </c>
      <c r="AM4" t="n">
        <v>3</v>
      </c>
      <c r="AN4" t="n">
        <v>12</v>
      </c>
      <c r="AO4" t="n">
        <v>20</v>
      </c>
      <c r="AP4" t="n">
        <v>20</v>
      </c>
      <c r="AQ4" t="n">
        <v>15</v>
      </c>
      <c r="AR4" t="n">
        <v>4</v>
      </c>
      <c r="AS4" t="n">
        <v>75</v>
      </c>
      <c r="AT4" t="n">
        <v>0.006</v>
      </c>
      <c r="AU4" t="n">
        <v>0.01</v>
      </c>
      <c r="AV4" t="n">
        <v>7.2</v>
      </c>
      <c r="AW4" t="inlineStr">
        <is>
          <t>32-35°C</t>
        </is>
      </c>
      <c r="AX4" t="n">
        <v>14</v>
      </c>
      <c r="AY4" t="n">
        <v>20</v>
      </c>
      <c r="AZ4" t="n">
        <v>26</v>
      </c>
      <c r="BA4" t="n">
        <v>34</v>
      </c>
      <c r="BB4" t="n">
        <v>44</v>
      </c>
      <c r="BD4" t="n">
        <v>3</v>
      </c>
      <c r="BE4" t="inlineStr">
        <is>
          <t>Drain rice</t>
        </is>
      </c>
      <c r="BF4" t="n">
        <v>-2</v>
      </c>
      <c r="BG4" t="inlineStr">
        <is>
          <t>Ambient</t>
        </is>
      </c>
      <c r="BH4" t="inlineStr">
        <is>
          <t>Surface dry</t>
        </is>
      </c>
      <c r="BJ4" t="n">
        <v>3</v>
      </c>
      <c r="BK4" t="inlineStr">
        <is>
          <t>Drain rice</t>
        </is>
      </c>
      <c r="BL4" t="n">
        <v>-2</v>
      </c>
      <c r="BM4" t="inlineStr">
        <is>
          <t>Ambient</t>
        </is>
      </c>
      <c r="BN4" t="inlineStr">
        <is>
          <t>Surface dry</t>
        </is>
      </c>
      <c r="BP4" t="n">
        <v>3</v>
      </c>
      <c r="BQ4" t="inlineStr">
        <is>
          <t>Drain rice</t>
        </is>
      </c>
      <c r="BR4" t="n">
        <v>-2</v>
      </c>
      <c r="BS4" t="inlineStr">
        <is>
          <t>Ambient</t>
        </is>
      </c>
      <c r="BT4" t="inlineStr">
        <is>
          <t>Surface dry</t>
        </is>
      </c>
      <c r="BV4" t="n">
        <v>3</v>
      </c>
      <c r="BW4" t="inlineStr">
        <is>
          <t>Drain rice</t>
        </is>
      </c>
      <c r="BX4" t="n">
        <v>-2</v>
      </c>
      <c r="BY4" t="inlineStr">
        <is>
          <t>Ambient</t>
        </is>
      </c>
      <c r="BZ4" t="inlineStr">
        <is>
          <t>Surface dry</t>
        </is>
      </c>
      <c r="CB4" t="inlineStr">
        <is>
          <t>Hako-koji (Box)</t>
        </is>
      </c>
      <c r="CC4" t="n">
        <v>63</v>
      </c>
      <c r="CD4" t="n">
        <v>64</v>
      </c>
      <c r="CE4" t="n">
        <v>65</v>
      </c>
      <c r="CF4" t="n">
        <v>66</v>
      </c>
      <c r="CG4" t="n">
        <v>67</v>
      </c>
      <c r="CH4" t="inlineStr">
        <is>
          <t>Fune (gentle)</t>
        </is>
      </c>
      <c r="CI4" t="n">
        <v>0.63</v>
      </c>
      <c r="CJ4" t="inlineStr">
        <is>
          <t>Uto (cold hold)</t>
        </is>
      </c>
      <c r="CK4" t="inlineStr">
        <is>
          <t>Day 2</t>
        </is>
      </c>
      <c r="CL4" t="inlineStr">
        <is>
          <t>8-10°C</t>
        </is>
      </c>
      <c r="CM4" t="inlineStr">
        <is>
          <t>4.5-5.0</t>
        </is>
      </c>
      <c r="CN4" t="inlineStr">
        <is>
          <t>Low temp acid development</t>
        </is>
      </c>
      <c r="CO4" t="inlineStr">
        <is>
          <t>Yamaoroshi Day 2</t>
        </is>
      </c>
      <c r="CP4" t="inlineStr">
        <is>
          <t>Day 2</t>
        </is>
      </c>
      <c r="CQ4" t="inlineStr">
        <is>
          <t>5-6°C</t>
        </is>
      </c>
      <c r="CR4" t="inlineStr">
        <is>
          <t>5.8-5.5</t>
        </is>
      </c>
      <c r="CS4" t="inlineStr">
        <is>
          <t>Continue grinding</t>
        </is>
      </c>
      <c r="CT4" t="inlineStr">
        <is>
          <t>LAB development</t>
        </is>
      </c>
      <c r="CU4" t="inlineStr">
        <is>
          <t>Day 7</t>
        </is>
      </c>
      <c r="CV4" t="inlineStr">
        <is>
          <t>10-12°C</t>
        </is>
      </c>
      <c r="CW4" t="inlineStr">
        <is>
          <t>5.0-4.5</t>
        </is>
      </c>
      <c r="CX4" t="inlineStr">
        <is>
          <t>Natural LAB grows</t>
        </is>
      </c>
      <c r="CY4" t="inlineStr">
        <is>
          <t>Soyashi Day 7</t>
        </is>
      </c>
      <c r="CZ4" t="inlineStr">
        <is>
          <t>Day 7</t>
        </is>
      </c>
      <c r="DA4" t="inlineStr">
        <is>
          <t>20-25°C</t>
        </is>
      </c>
      <c r="DB4" t="inlineStr">
        <is>
          <t>4.5-4.0</t>
        </is>
      </c>
      <c r="DC4" t="inlineStr">
        <is>
          <t>Active ferment</t>
        </is>
      </c>
      <c r="DD4" t="inlineStr">
        <is>
          <t>Kimoto</t>
        </is>
      </c>
      <c r="DE4" t="n">
        <v>93</v>
      </c>
      <c r="DF4" t="n">
        <v>94</v>
      </c>
      <c r="DG4" t="n">
        <v>95</v>
      </c>
      <c r="DH4" t="n">
        <v>96</v>
      </c>
      <c r="DI4" t="n">
        <v>97</v>
      </c>
      <c r="DJ4" t="inlineStr">
        <is>
          <t>Cool down</t>
        </is>
      </c>
      <c r="DK4" t="inlineStr">
        <is>
          <t>+10 hrs</t>
        </is>
      </c>
      <c r="DL4" t="inlineStr">
        <is>
          <t>10-15°C</t>
        </is>
      </c>
      <c r="DM4" t="inlineStr">
        <is>
          <t>5.0-5.5</t>
        </is>
      </c>
      <c r="DN4" t="inlineStr">
        <is>
          <t>Rapid cooling</t>
        </is>
      </c>
      <c r="DO4" t="inlineStr">
        <is>
          <t>Active phase</t>
        </is>
      </c>
      <c r="DP4" t="inlineStr">
        <is>
          <t>Day 3</t>
        </is>
      </c>
      <c r="DQ4" t="inlineStr">
        <is>
          <t>18-22°C</t>
        </is>
      </c>
      <c r="DR4" t="inlineStr">
        <is>
          <t>4.5-4.0</t>
        </is>
      </c>
      <c r="DS4" t="inlineStr">
        <is>
          <t>Strong bubbling</t>
        </is>
      </c>
      <c r="DT4" t="inlineStr">
        <is>
          <t>Pitch yeast</t>
        </is>
      </c>
      <c r="DU4" t="inlineStr">
        <is>
          <t>+4 hrs</t>
        </is>
      </c>
      <c r="DV4" t="inlineStr">
        <is>
          <t>12-15°C</t>
        </is>
      </c>
      <c r="DW4" t="inlineStr">
        <is>
          <t>4.0-4.5</t>
        </is>
      </c>
      <c r="DX4" t="inlineStr">
        <is>
          <t>High pitch rate</t>
        </is>
      </c>
      <c r="EA4" t="inlineStr">
        <is>
          <t>Ginjo (25-35 days)</t>
        </is>
      </c>
      <c r="EB4" t="n">
        <v>143</v>
      </c>
      <c r="EC4" t="n">
        <v>144</v>
      </c>
      <c r="ED4" t="n">
        <v>145</v>
      </c>
      <c r="EE4" t="n">
        <v>146</v>
      </c>
      <c r="EF4" t="n">
        <v>147</v>
      </c>
      <c r="EG4" t="inlineStr">
        <is>
          <t>Naka (2nd addition)</t>
        </is>
      </c>
      <c r="EH4" t="inlineStr">
        <is>
          <t>Day 2</t>
        </is>
      </c>
      <c r="EI4" t="inlineStr">
        <is>
          <t>10-12°C</t>
        </is>
      </c>
      <c r="EJ4" t="inlineStr">
        <is>
          <t>-</t>
        </is>
      </c>
      <c r="EK4" t="inlineStr">
        <is>
          <t>Double the volume</t>
        </is>
      </c>
      <c r="EM4" t="inlineStr">
        <is>
          <t>Naka (2nd addition)</t>
        </is>
      </c>
      <c r="EN4" t="inlineStr">
        <is>
          <t>Day 2</t>
        </is>
      </c>
      <c r="EO4" t="inlineStr">
        <is>
          <t>8-10°C</t>
        </is>
      </c>
      <c r="EP4" t="inlineStr">
        <is>
          <t>-</t>
        </is>
      </c>
      <c r="EQ4" t="inlineStr">
        <is>
          <t>Double the volume</t>
        </is>
      </c>
      <c r="ES4" t="inlineStr">
        <is>
          <t>Naka (2nd addition)</t>
        </is>
      </c>
      <c r="ET4" t="inlineStr">
        <is>
          <t>Day 2</t>
        </is>
      </c>
      <c r="EU4" t="inlineStr">
        <is>
          <t>6-8°C</t>
        </is>
      </c>
      <c r="EV4" t="inlineStr">
        <is>
          <t>-</t>
        </is>
      </c>
      <c r="EW4" t="inlineStr">
        <is>
          <t>Careful addition</t>
        </is>
      </c>
      <c r="EX4" t="n">
        <v>40</v>
      </c>
      <c r="EY4" t="inlineStr">
        <is>
          <t>Naka (2nd addition)</t>
        </is>
      </c>
      <c r="EZ4" t="inlineStr">
        <is>
          <t>Day 2</t>
        </is>
      </c>
      <c r="FA4" t="inlineStr">
        <is>
          <t>14-16°C</t>
        </is>
      </c>
      <c r="FB4" t="inlineStr">
        <is>
          <t>-</t>
        </is>
      </c>
      <c r="FC4" t="inlineStr">
        <is>
          <t>Add volume</t>
        </is>
      </c>
    </row>
    <row r="5" ht="18" customHeight="1">
      <c r="A5" s="57" t="inlineStr">
        <is>
          <t>Yamahai</t>
        </is>
      </c>
      <c r="B5" s="136" t="inlineStr">
        <is>
          <t>Higuchi Sake Neutral (Yellow)</t>
        </is>
      </c>
      <c r="C5" s="38" t="inlineStr">
        <is>
          <t>Yellow</t>
        </is>
      </c>
      <c r="D5" s="136" t="inlineStr">
        <is>
          <t>Kimoto</t>
        </is>
      </c>
      <c r="E5" s="136" t="inlineStr">
        <is>
          <t>Traditional with yamaoroshi</t>
        </is>
      </c>
      <c r="F5" s="136" t="inlineStr">
        <is>
          <t>Lactic acid (75%)</t>
        </is>
      </c>
      <c r="G5" s="136" t="inlineStr">
        <is>
          <t>85%</t>
        </is>
      </c>
      <c r="H5" s="136" t="inlineStr">
        <is>
          <t>573-616</t>
        </is>
      </c>
      <c r="I5" s="136" t="inlineStr">
        <is>
          <t>Sou-haze (Standard)</t>
        </is>
      </c>
      <c r="J5" s="136" t="inlineStr">
        <is>
          <t>6B cells/mL (White Labs)</t>
        </is>
      </c>
      <c r="K5" s="136" t="inlineStr">
        <is>
          <t>6 gal bucket</t>
        </is>
      </c>
      <c r="L5" s="136" t="n">
        <v>23</v>
      </c>
      <c r="M5" s="136" t="inlineStr">
        <is>
          <t>Omachi</t>
        </is>
      </c>
      <c r="N5" s="136" t="inlineStr">
        <is>
          <t>Sou-haze (Standard)</t>
        </is>
      </c>
      <c r="P5" s="125" t="inlineStr">
        <is>
          <t>Omachi</t>
        </is>
      </c>
      <c r="Q5" s="125" t="n">
        <v>0.44</v>
      </c>
      <c r="R5" s="125" t="n">
        <v>0.2</v>
      </c>
      <c r="S5" s="125" t="n">
        <v>2.2</v>
      </c>
      <c r="T5" s="125" t="n">
        <v>6.8</v>
      </c>
      <c r="U5" s="125" t="inlineStr">
        <is>
          <t>Heritage (1859) - rich, complex, earthy character</t>
        </is>
      </c>
      <c r="V5" s="125" t="inlineStr">
        <is>
          <t>Black</t>
        </is>
      </c>
      <c r="W5" s="125" t="n">
        <v>6</v>
      </c>
      <c r="X5" t="inlineStr">
        <is>
          <t>Highest citric acid, bold flavor</t>
        </is>
      </c>
      <c r="AA5" t="inlineStr">
        <is>
          <t>Kimoto/Yamahai (hard)</t>
        </is>
      </c>
      <c r="AB5" t="n">
        <v>37</v>
      </c>
      <c r="AC5" t="n">
        <v>6</v>
      </c>
      <c r="AD5" t="n">
        <v>20</v>
      </c>
      <c r="AE5" t="n">
        <v>5</v>
      </c>
      <c r="AF5" t="n">
        <v>25</v>
      </c>
      <c r="AG5" t="n">
        <v>20</v>
      </c>
      <c r="AH5" t="n">
        <v>25</v>
      </c>
      <c r="AI5" t="n">
        <v>120</v>
      </c>
      <c r="AK5" t="inlineStr">
        <is>
          <t>Japan: Niigata</t>
        </is>
      </c>
      <c r="AL5" t="n">
        <v>8</v>
      </c>
      <c r="AM5" t="n">
        <v>2</v>
      </c>
      <c r="AN5" t="n">
        <v>4</v>
      </c>
      <c r="AO5" t="n">
        <v>5</v>
      </c>
      <c r="AP5" t="n">
        <v>5</v>
      </c>
      <c r="AQ5" t="n">
        <v>5</v>
      </c>
      <c r="AR5" t="n">
        <v>1</v>
      </c>
      <c r="AS5" t="n">
        <v>30</v>
      </c>
      <c r="AT5" t="n">
        <v>0.01</v>
      </c>
      <c r="AU5" t="n">
        <v>0.01</v>
      </c>
      <c r="AV5" t="n">
        <v>7.2</v>
      </c>
      <c r="AW5" t="inlineStr">
        <is>
          <t>32°C</t>
        </is>
      </c>
      <c r="AX5" t="n">
        <v>0</v>
      </c>
      <c r="AY5" t="n">
        <v>18</v>
      </c>
      <c r="AZ5" t="n">
        <v>26</v>
      </c>
      <c r="BA5" t="n">
        <v>32</v>
      </c>
      <c r="BB5" t="n">
        <v>50</v>
      </c>
      <c r="BD5" t="n">
        <v>4</v>
      </c>
      <c r="BE5" t="inlineStr">
        <is>
          <t>Steam rice</t>
        </is>
      </c>
      <c r="BF5" t="n">
        <v>0</v>
      </c>
      <c r="BG5" t="inlineStr">
        <is>
          <t>100°C</t>
        </is>
      </c>
      <c r="BH5" t="inlineStr">
        <is>
          <t>Hineri-mochi</t>
        </is>
      </c>
      <c r="BI5" t="inlineStr">
        <is>
          <t>Dry × 1.40</t>
        </is>
      </c>
      <c r="BJ5" t="n">
        <v>4</v>
      </c>
      <c r="BK5" t="inlineStr">
        <is>
          <t>Steam rice</t>
        </is>
      </c>
      <c r="BL5" t="n">
        <v>0</v>
      </c>
      <c r="BM5" t="inlineStr">
        <is>
          <t>100°C</t>
        </is>
      </c>
      <c r="BN5" t="inlineStr">
        <is>
          <t>Hineri-mochi</t>
        </is>
      </c>
      <c r="BO5" t="inlineStr">
        <is>
          <t>Dry × 1.40</t>
        </is>
      </c>
      <c r="BP5" t="n">
        <v>4</v>
      </c>
      <c r="BQ5" t="inlineStr">
        <is>
          <t>Steam rice</t>
        </is>
      </c>
      <c r="BR5" t="n">
        <v>0</v>
      </c>
      <c r="BS5" t="inlineStr">
        <is>
          <t>100°C</t>
        </is>
      </c>
      <c r="BT5" t="inlineStr">
        <is>
          <t>Hineri-mochi</t>
        </is>
      </c>
      <c r="BU5" t="inlineStr">
        <is>
          <t>Dry × 1.40</t>
        </is>
      </c>
      <c r="BV5" t="n">
        <v>4</v>
      </c>
      <c r="BW5" t="inlineStr">
        <is>
          <t>Steam rice (cont.)</t>
        </is>
      </c>
      <c r="BX5" t="n">
        <v>0</v>
      </c>
      <c r="BY5" t="inlineStr">
        <is>
          <t>100°C</t>
        </is>
      </c>
      <c r="BZ5" t="inlineStr">
        <is>
          <t>Auto-steam</t>
        </is>
      </c>
      <c r="CA5" t="inlineStr">
        <is>
          <t>Dry × 1.40</t>
        </is>
      </c>
      <c r="CB5" t="inlineStr">
        <is>
          <t>Ueda (Tarai)</t>
        </is>
      </c>
      <c r="CC5" t="n">
        <v>69</v>
      </c>
      <c r="CD5" t="n">
        <v>70</v>
      </c>
      <c r="CE5" t="n">
        <v>71</v>
      </c>
      <c r="CF5" t="n">
        <v>72</v>
      </c>
      <c r="CG5" t="n">
        <v>73</v>
      </c>
      <c r="CH5" t="inlineStr">
        <is>
          <t>Fune (standard)</t>
        </is>
      </c>
      <c r="CI5" t="n">
        <v>0.68</v>
      </c>
      <c r="CJ5" t="inlineStr">
        <is>
          <t>Yeast pitch</t>
        </is>
      </c>
      <c r="CK5" t="inlineStr">
        <is>
          <t>Day 3</t>
        </is>
      </c>
      <c r="CL5" t="inlineStr">
        <is>
          <t>12-15°C</t>
        </is>
      </c>
      <c r="CM5" t="inlineStr">
        <is>
          <t>4.0-4.5</t>
        </is>
      </c>
      <c r="CN5" t="inlineStr">
        <is>
          <t>Add hydrated yeast</t>
        </is>
      </c>
      <c r="CO5" t="inlineStr">
        <is>
          <t>Yamaoroshi Day 3</t>
        </is>
      </c>
      <c r="CP5" t="inlineStr">
        <is>
          <t>Day 3</t>
        </is>
      </c>
      <c r="CQ5" t="inlineStr">
        <is>
          <t>5-6°C</t>
        </is>
      </c>
      <c r="CR5" t="inlineStr">
        <is>
          <t>5.5-5.2</t>
        </is>
      </c>
      <c r="CS5" t="inlineStr">
        <is>
          <t>Final grind, combine</t>
        </is>
      </c>
      <c r="CT5" t="inlineStr">
        <is>
          <t>Mid-ferment</t>
        </is>
      </c>
      <c r="CU5" t="inlineStr">
        <is>
          <t>Day 14</t>
        </is>
      </c>
      <c r="CV5" t="inlineStr">
        <is>
          <t>12-15°C</t>
        </is>
      </c>
      <c r="CW5" t="inlineStr">
        <is>
          <t>4.5-4.0</t>
        </is>
      </c>
      <c r="CX5" t="inlineStr">
        <is>
          <t>Acid accumulating</t>
        </is>
      </c>
      <c r="CY5" t="inlineStr">
        <is>
          <t>Soyashi complete</t>
        </is>
      </c>
      <c r="CZ5" t="inlineStr">
        <is>
          <t>Day 10</t>
        </is>
      </c>
      <c r="DA5" t="inlineStr">
        <is>
          <t>20-25°C</t>
        </is>
      </c>
      <c r="DB5" t="inlineStr">
        <is>
          <t>3.5-4.0</t>
        </is>
      </c>
      <c r="DC5" t="inlineStr">
        <is>
          <t>Target pH reached</t>
        </is>
      </c>
      <c r="DD5" t="inlineStr">
        <is>
          <t>Yamahai</t>
        </is>
      </c>
      <c r="DE5" t="n">
        <v>98</v>
      </c>
      <c r="DF5" t="n">
        <v>99</v>
      </c>
      <c r="DG5" t="n">
        <v>100</v>
      </c>
      <c r="DH5" t="n">
        <v>101</v>
      </c>
      <c r="DI5" t="n">
        <v>102</v>
      </c>
      <c r="DJ5" t="inlineStr">
        <is>
          <t>Tennen Kōbo</t>
        </is>
      </c>
      <c r="DK5" t="inlineStr">
        <is>
          <t>Day 1</t>
        </is>
      </c>
      <c r="DL5" t="inlineStr">
        <is>
          <t>10-15°C</t>
        </is>
      </c>
      <c r="DM5" t="inlineStr">
        <is>
          <t>5.0-4.2</t>
        </is>
      </c>
      <c r="DN5" t="inlineStr">
        <is>
          <t>LAB &amp; wild yeast</t>
        </is>
      </c>
      <c r="DO5" t="inlineStr">
        <is>
          <t>Peak</t>
        </is>
      </c>
      <c r="DP5" t="inlineStr">
        <is>
          <t>Day 5</t>
        </is>
      </c>
      <c r="DQ5" t="inlineStr">
        <is>
          <t>18-22°C</t>
        </is>
      </c>
      <c r="DR5" t="inlineStr">
        <is>
          <t>&lt;4.0</t>
        </is>
      </c>
      <c r="DS5" t="inlineStr">
        <is>
          <t>Maximum activity</t>
        </is>
      </c>
      <c r="DT5" t="inlineStr">
        <is>
          <t>Fermentation</t>
        </is>
      </c>
      <c r="DU5" t="inlineStr">
        <is>
          <t>Day 2</t>
        </is>
      </c>
      <c r="DV5" t="inlineStr">
        <is>
          <t>15-18°C</t>
        </is>
      </c>
      <c r="DW5" t="inlineStr">
        <is>
          <t>&lt;4.0</t>
        </is>
      </c>
      <c r="DX5" t="inlineStr">
        <is>
          <t>Monitor closely</t>
        </is>
      </c>
      <c r="EA5" t="inlineStr">
        <is>
          <t>Daiginjo (30-40 days)</t>
        </is>
      </c>
      <c r="EB5" t="n">
        <v>149</v>
      </c>
      <c r="EC5" t="n">
        <v>150</v>
      </c>
      <c r="ED5" t="n">
        <v>151</v>
      </c>
      <c r="EE5" t="n">
        <v>152</v>
      </c>
      <c r="EF5" t="n">
        <v>153</v>
      </c>
      <c r="EG5" t="inlineStr">
        <is>
          <t>Tome (3rd addition)</t>
        </is>
      </c>
      <c r="EH5" t="inlineStr">
        <is>
          <t>Day 3</t>
        </is>
      </c>
      <c r="EI5" t="inlineStr">
        <is>
          <t>10-12°C</t>
        </is>
      </c>
      <c r="EJ5" t="inlineStr">
        <is>
          <t>-</t>
        </is>
      </c>
      <c r="EK5" t="inlineStr">
        <is>
          <t>Final addition</t>
        </is>
      </c>
      <c r="EM5" t="inlineStr">
        <is>
          <t>Tome (3rd addition)</t>
        </is>
      </c>
      <c r="EN5" t="inlineStr">
        <is>
          <t>Day 3</t>
        </is>
      </c>
      <c r="EO5" t="inlineStr">
        <is>
          <t>8-10°C</t>
        </is>
      </c>
      <c r="EP5" t="inlineStr">
        <is>
          <t>-</t>
        </is>
      </c>
      <c r="EQ5" t="inlineStr">
        <is>
          <t>Final addition</t>
        </is>
      </c>
      <c r="ES5" t="inlineStr">
        <is>
          <t>Tome (3rd addition)</t>
        </is>
      </c>
      <c r="ET5" t="inlineStr">
        <is>
          <t>Day 3</t>
        </is>
      </c>
      <c r="EU5" t="inlineStr">
        <is>
          <t>6-8°C</t>
        </is>
      </c>
      <c r="EV5" t="inlineStr">
        <is>
          <t>-</t>
        </is>
      </c>
      <c r="EW5" t="inlineStr">
        <is>
          <t>Final addition</t>
        </is>
      </c>
      <c r="EX5" t="n">
        <v>45</v>
      </c>
      <c r="EY5" t="inlineStr">
        <is>
          <t>Tome (3rd addition)</t>
        </is>
      </c>
      <c r="EZ5" t="inlineStr">
        <is>
          <t>Day 3</t>
        </is>
      </c>
      <c r="FA5" t="inlineStr">
        <is>
          <t>14-16°C</t>
        </is>
      </c>
      <c r="FB5" t="inlineStr">
        <is>
          <t>-</t>
        </is>
      </c>
      <c r="FC5" t="inlineStr">
        <is>
          <t>Final addition</t>
        </is>
      </c>
    </row>
    <row r="6" ht="18" customHeight="1">
      <c r="A6" s="120" t="inlineStr">
        <is>
          <t>Mizumoto</t>
        </is>
      </c>
      <c r="B6" s="122" t="inlineStr">
        <is>
          <t>Higuchi Mirin-type (Yellow)</t>
        </is>
      </c>
      <c r="C6" s="38" t="inlineStr">
        <is>
          <t>Yellow</t>
        </is>
      </c>
      <c r="D6" s="122" t="inlineStr">
        <is>
          <t>Yamahai</t>
        </is>
      </c>
      <c r="E6" s="122" t="inlineStr">
        <is>
          <t>Traditional without yamaoroshi</t>
        </is>
      </c>
      <c r="F6" s="122" t="inlineStr">
        <is>
          <t>Lactic acid (85%)</t>
        </is>
      </c>
      <c r="G6" s="122" t="inlineStr">
        <is>
          <t>88%</t>
        </is>
      </c>
      <c r="H6" s="122" t="inlineStr">
        <is>
          <t>554-596</t>
        </is>
      </c>
      <c r="I6" s="122" t="inlineStr">
        <is>
          <t>Tsuki-haze (Ginjo)</t>
        </is>
      </c>
      <c r="J6" s="122" t="inlineStr">
        <is>
          <t>8B cells/mL (Generic)</t>
        </is>
      </c>
      <c r="K6" s="122" t="inlineStr">
        <is>
          <t>7 gal bucket</t>
        </is>
      </c>
      <c r="L6" s="122" t="n">
        <v>26</v>
      </c>
      <c r="M6" s="122" t="inlineStr">
        <is>
          <t>Miyamanishiki</t>
        </is>
      </c>
      <c r="N6" s="122" t="inlineStr">
        <is>
          <t>Ueda Method</t>
        </is>
      </c>
      <c r="P6" s="125" t="inlineStr">
        <is>
          <t>Miyamanishiki</t>
        </is>
      </c>
      <c r="Q6" s="125" t="n">
        <v>0.43</v>
      </c>
      <c r="R6" s="125" t="n">
        <v>0.2</v>
      </c>
      <c r="S6" s="125" t="n">
        <v>2.15</v>
      </c>
      <c r="T6" s="125" t="n">
        <v>7</v>
      </c>
      <c r="U6" s="125" t="inlineStr">
        <is>
          <t>Cold-climate variety - crisp, clean finish</t>
        </is>
      </c>
      <c r="V6" s="125" t="n"/>
      <c r="W6" s="125" t="n"/>
      <c r="X6" t="n">
        <v>30</v>
      </c>
      <c r="AA6" t="inlineStr">
        <is>
          <t>Tanrei Karakuchi (Niigata)</t>
        </is>
      </c>
      <c r="AB6" t="n">
        <v>8</v>
      </c>
      <c r="AC6" t="n">
        <v>2</v>
      </c>
      <c r="AD6" t="n">
        <v>4</v>
      </c>
      <c r="AE6" t="n">
        <v>2</v>
      </c>
      <c r="AF6" t="n">
        <v>5</v>
      </c>
      <c r="AG6" t="n">
        <v>5</v>
      </c>
      <c r="AH6" t="n">
        <v>5</v>
      </c>
      <c r="AI6" t="n">
        <v>30</v>
      </c>
      <c r="AK6" t="inlineStr">
        <is>
          <t>Japan: Hiroshima (Saijo)</t>
        </is>
      </c>
      <c r="AL6" t="n">
        <v>5</v>
      </c>
      <c r="AM6" t="n">
        <v>1</v>
      </c>
      <c r="AN6" t="n">
        <v>3</v>
      </c>
      <c r="AO6" t="n">
        <v>3</v>
      </c>
      <c r="AP6" t="n">
        <v>3</v>
      </c>
      <c r="AQ6" t="n">
        <v>3</v>
      </c>
      <c r="AR6" t="n">
        <v>1</v>
      </c>
      <c r="AS6" t="n">
        <v>18</v>
      </c>
      <c r="AT6" t="n">
        <v>0.01</v>
      </c>
      <c r="AU6" t="n">
        <v>0.01</v>
      </c>
      <c r="AV6" t="n">
        <v>7.2</v>
      </c>
      <c r="AW6" t="inlineStr">
        <is>
          <t>32°C</t>
        </is>
      </c>
      <c r="AX6" t="n">
        <v>0</v>
      </c>
      <c r="AY6" t="n">
        <v>16</v>
      </c>
      <c r="AZ6" t="n">
        <v>24</v>
      </c>
      <c r="BA6" t="n">
        <v>30</v>
      </c>
      <c r="BB6" t="n">
        <v>44</v>
      </c>
      <c r="BD6" t="n">
        <v>5</v>
      </c>
      <c r="BE6" t="inlineStr">
        <is>
          <t>Cool (hiki-komi)</t>
        </is>
      </c>
      <c r="BF6" t="n">
        <v>1</v>
      </c>
      <c r="BG6" t="inlineStr">
        <is>
          <t>35-38°C</t>
        </is>
      </c>
      <c r="BH6" t="inlineStr">
        <is>
          <t>Cool to 35°C</t>
        </is>
      </c>
      <c r="BJ6" t="n">
        <v>5</v>
      </c>
      <c r="BK6" t="inlineStr">
        <is>
          <t>Cool (hiki-komi)</t>
        </is>
      </c>
      <c r="BL6" t="n">
        <v>1</v>
      </c>
      <c r="BM6" t="inlineStr">
        <is>
          <t>35-38°C</t>
        </is>
      </c>
      <c r="BN6" t="inlineStr">
        <is>
          <t>Cool to 35°C</t>
        </is>
      </c>
      <c r="BP6" t="n">
        <v>5</v>
      </c>
      <c r="BQ6" t="inlineStr">
        <is>
          <t>DRY DOWN (hiki-komi)</t>
        </is>
      </c>
      <c r="BR6" t="n">
        <v>1</v>
      </c>
      <c r="BS6" t="inlineStr">
        <is>
          <t>40°C/&lt;50%RH</t>
        </is>
      </c>
      <c r="BT6" t="inlineStr">
        <is>
          <t>To 28-31% moisture</t>
        </is>
      </c>
      <c r="BU6" t="inlineStr">
        <is>
          <t>Steamed × 0.85</t>
        </is>
      </c>
      <c r="BV6" t="n">
        <v>5</v>
      </c>
      <c r="BW6" t="inlineStr">
        <is>
          <t>Cool &amp; inoculate</t>
        </is>
      </c>
      <c r="BX6" t="n">
        <v>1</v>
      </c>
      <c r="BY6" t="inlineStr">
        <is>
          <t>32-35°C</t>
        </is>
      </c>
      <c r="BZ6" t="inlineStr">
        <is>
          <t>Auto-inoculate</t>
        </is>
      </c>
      <c r="CB6" t="inlineStr">
        <is>
          <t>Ueda Fast</t>
        </is>
      </c>
      <c r="CC6" t="n">
        <v>69</v>
      </c>
      <c r="CD6" t="n">
        <v>70</v>
      </c>
      <c r="CE6" t="n">
        <v>71</v>
      </c>
      <c r="CF6" t="n">
        <v>72</v>
      </c>
      <c r="CG6" t="n">
        <v>73</v>
      </c>
      <c r="CH6" t="inlineStr">
        <is>
          <t>Fune (aggressive)</t>
        </is>
      </c>
      <c r="CI6" t="n">
        <v>0.73</v>
      </c>
      <c r="CJ6" t="inlineStr">
        <is>
          <t>Active ferment</t>
        </is>
      </c>
      <c r="CK6" t="inlineStr">
        <is>
          <t>Day 5</t>
        </is>
      </c>
      <c r="CL6" t="inlineStr">
        <is>
          <t>15-18°C</t>
        </is>
      </c>
      <c r="CM6" t="inlineStr">
        <is>
          <t>&lt;4.0</t>
        </is>
      </c>
      <c r="CN6" t="inlineStr">
        <is>
          <t>Bubbling, yeast growth</t>
        </is>
      </c>
      <c r="CO6" t="inlineStr">
        <is>
          <t>Dakidaru start</t>
        </is>
      </c>
      <c r="CP6" t="inlineStr">
        <is>
          <t>Day 4</t>
        </is>
      </c>
      <c r="CQ6" t="inlineStr">
        <is>
          <t>8-10°C</t>
        </is>
      </c>
      <c r="CR6" t="inlineStr">
        <is>
          <t>5.0-4.8</t>
        </is>
      </c>
      <c r="CS6" t="inlineStr">
        <is>
          <t>Begin warming phase</t>
        </is>
      </c>
      <c r="CT6" t="inlineStr">
        <is>
          <t>Yeast emerges</t>
        </is>
      </c>
      <c r="CU6" t="inlineStr">
        <is>
          <t>Day 20</t>
        </is>
      </c>
      <c r="CV6" t="inlineStr">
        <is>
          <t>15-18°C</t>
        </is>
      </c>
      <c r="CW6" t="inlineStr">
        <is>
          <t>4.0-3.8</t>
        </is>
      </c>
      <c r="CX6" t="inlineStr">
        <is>
          <t>Wild/added yeast</t>
        </is>
      </c>
      <c r="CY6" t="inlineStr">
        <is>
          <t>Separate &amp; steam</t>
        </is>
      </c>
      <c r="CZ6" t="inlineStr">
        <is>
          <t>Day 10+</t>
        </is>
      </c>
      <c r="DA6" t="inlineStr">
        <is>
          <t>100°C</t>
        </is>
      </c>
      <c r="DB6" t="inlineStr">
        <is>
          <t>-</t>
        </is>
      </c>
      <c r="DC6" t="inlineStr">
        <is>
          <t>Steam the soaked rice</t>
        </is>
      </c>
      <c r="DD6" t="inlineStr">
        <is>
          <t>Bodaimoto (Nara)</t>
        </is>
      </c>
      <c r="DE6" t="n">
        <v>103</v>
      </c>
      <c r="DF6" t="n">
        <v>104</v>
      </c>
      <c r="DG6" t="n">
        <v>105</v>
      </c>
      <c r="DH6" t="n">
        <v>106</v>
      </c>
      <c r="DI6" t="n">
        <v>107</v>
      </c>
      <c r="DJ6" t="inlineStr">
        <is>
          <t>Yūtsuki</t>
        </is>
      </c>
      <c r="DK6" t="inlineStr">
        <is>
          <t>Day 3</t>
        </is>
      </c>
      <c r="DL6" t="inlineStr">
        <is>
          <t>15-20°C</t>
        </is>
      </c>
      <c r="DM6" t="inlineStr">
        <is>
          <t>4.2-4.0</t>
        </is>
      </c>
      <c r="DN6" t="inlineStr">
        <is>
          <t>Yeast ramp up</t>
        </is>
      </c>
      <c r="DO6" t="inlineStr">
        <is>
          <t>Slow down</t>
        </is>
      </c>
      <c r="DP6" t="inlineStr">
        <is>
          <t>Day 7</t>
        </is>
      </c>
      <c r="DQ6" t="inlineStr">
        <is>
          <t>15-18°C</t>
        </is>
      </c>
      <c r="DR6" t="inlineStr">
        <is>
          <t>&lt;3.8</t>
        </is>
      </c>
      <c r="DS6" t="inlineStr">
        <is>
          <t>Fermentation slowing</t>
        </is>
      </c>
      <c r="DT6" t="inlineStr">
        <is>
          <t>Continue</t>
        </is>
      </c>
      <c r="DU6" t="inlineStr">
        <is>
          <t>Day 5</t>
        </is>
      </c>
      <c r="DV6" t="inlineStr">
        <is>
          <t>12-15°C</t>
        </is>
      </c>
      <c r="DW6" t="inlineStr">
        <is>
          <t>&lt;3.8</t>
        </is>
      </c>
      <c r="DX6" t="inlineStr">
        <is>
          <t>Standard moromi temps</t>
        </is>
      </c>
      <c r="EA6" t="inlineStr">
        <is>
          <t>Quick (14-20 days)</t>
        </is>
      </c>
      <c r="EB6" t="n">
        <v>155</v>
      </c>
      <c r="EC6" t="n">
        <v>156</v>
      </c>
      <c r="ED6" t="n">
        <v>157</v>
      </c>
      <c r="EE6" t="n">
        <v>158</v>
      </c>
      <c r="EF6" t="n">
        <v>159</v>
      </c>
      <c r="EG6" t="inlineStr">
        <is>
          <t>Suji-awa</t>
        </is>
      </c>
      <c r="EH6" t="inlineStr">
        <is>
          <t>Day 4-5</t>
        </is>
      </c>
      <c r="EI6" t="inlineStr">
        <is>
          <t>10-12°C</t>
        </is>
      </c>
      <c r="EJ6" t="inlineStr">
        <is>
          <t>Muscle</t>
        </is>
      </c>
      <c r="EK6" t="inlineStr">
        <is>
          <t>Small striations appear</t>
        </is>
      </c>
      <c r="EM6" t="inlineStr">
        <is>
          <t>Suji-awa</t>
        </is>
      </c>
      <c r="EN6" t="inlineStr">
        <is>
          <t>Day 5-7</t>
        </is>
      </c>
      <c r="EO6" t="inlineStr">
        <is>
          <t>8-10°C</t>
        </is>
      </c>
      <c r="EP6" t="inlineStr">
        <is>
          <t>Muscle</t>
        </is>
      </c>
      <c r="EQ6" t="inlineStr">
        <is>
          <t>Slow start, striations</t>
        </is>
      </c>
      <c r="ES6" t="inlineStr">
        <is>
          <t>Suji-awa</t>
        </is>
      </c>
      <c r="ET6" t="inlineStr">
        <is>
          <t>Day 6-9</t>
        </is>
      </c>
      <c r="EU6" t="inlineStr">
        <is>
          <t>6-8°C</t>
        </is>
      </c>
      <c r="EV6" t="inlineStr">
        <is>
          <t>Muscle</t>
        </is>
      </c>
      <c r="EW6" t="inlineStr">
        <is>
          <t>Very slow start</t>
        </is>
      </c>
      <c r="EX6" t="n">
        <v>50</v>
      </c>
      <c r="EY6" t="inlineStr">
        <is>
          <t>Suji-awa</t>
        </is>
      </c>
      <c r="EZ6" t="inlineStr">
        <is>
          <t>Day 4</t>
        </is>
      </c>
      <c r="FA6" t="inlineStr">
        <is>
          <t>14-16°C</t>
        </is>
      </c>
      <c r="FB6" t="inlineStr">
        <is>
          <t>Muscle</t>
        </is>
      </c>
      <c r="FC6" t="inlineStr">
        <is>
          <t>Quick start</t>
        </is>
      </c>
    </row>
    <row r="7" ht="18" customHeight="1">
      <c r="A7" s="57" t="inlineStr">
        <is>
          <t>Bodaimoto</t>
        </is>
      </c>
      <c r="B7" s="136" t="inlineStr">
        <is>
          <t>Higuchi Shoyu-type (Yellow)</t>
        </is>
      </c>
      <c r="C7" s="38" t="inlineStr">
        <is>
          <t>Yellow</t>
        </is>
      </c>
      <c r="D7" s="136" t="inlineStr">
        <is>
          <t>Bodaimoto</t>
        </is>
      </c>
      <c r="E7" s="136" t="inlineStr">
        <is>
          <t>Ancient method with soyashi mizu</t>
        </is>
      </c>
      <c r="F7" s="136" t="inlineStr">
        <is>
          <t>Lactic acid (88%)</t>
        </is>
      </c>
      <c r="G7" s="136" t="inlineStr">
        <is>
          <t>90%</t>
        </is>
      </c>
      <c r="H7" s="136" t="inlineStr">
        <is>
          <t>542-583</t>
        </is>
      </c>
      <c r="I7" s="136" t="inlineStr">
        <is>
          <t>Haze-otoshi (Post-growth)</t>
        </is>
      </c>
      <c r="J7" s="136" t="inlineStr">
        <is>
          <t>Soyashi water</t>
        </is>
      </c>
      <c r="K7" s="136" t="inlineStr">
        <is>
          <t>10 gal bucket</t>
        </is>
      </c>
      <c r="L7" s="136" t="n">
        <v>38</v>
      </c>
      <c r="M7" s="136" t="inlineStr">
        <is>
          <t>Hattannishiki</t>
        </is>
      </c>
      <c r="N7" s="136" t="inlineStr">
        <is>
          <t>High-Enzyme (Moto)</t>
        </is>
      </c>
      <c r="P7" s="125" t="inlineStr">
        <is>
          <t>Hattannishiki</t>
        </is>
      </c>
      <c r="Q7" s="125" t="n">
        <v>0.42</v>
      </c>
      <c r="R7" s="125" t="n">
        <v>0.21</v>
      </c>
      <c r="S7" s="125" t="n">
        <v>2</v>
      </c>
      <c r="T7" s="125" t="n">
        <v>7.2</v>
      </c>
      <c r="U7" s="125" t="inlineStr">
        <is>
          <t>Hiroshima specialty - soft water brewing</t>
        </is>
      </c>
      <c r="V7" s="125" t="n"/>
      <c r="W7" s="125" t="n"/>
      <c r="X7" t="n">
        <v>0</v>
      </c>
      <c r="AA7" t="inlineStr">
        <is>
          <t>Miyamizu Style (Nada)</t>
        </is>
      </c>
      <c r="AB7" t="n">
        <v>37</v>
      </c>
      <c r="AC7" t="n">
        <v>6</v>
      </c>
      <c r="AD7" t="n">
        <v>20</v>
      </c>
      <c r="AE7" t="n">
        <v>5</v>
      </c>
      <c r="AF7" t="n">
        <v>32</v>
      </c>
      <c r="AG7" t="n">
        <v>24</v>
      </c>
      <c r="AH7" t="n">
        <v>32</v>
      </c>
      <c r="AI7" t="n">
        <v>130</v>
      </c>
      <c r="AK7" t="inlineStr">
        <is>
          <t>Japan: Akita</t>
        </is>
      </c>
      <c r="AL7" t="n">
        <v>12</v>
      </c>
      <c r="AM7" t="n">
        <v>3</v>
      </c>
      <c r="AN7" t="n">
        <v>5</v>
      </c>
      <c r="AO7" t="n">
        <v>8</v>
      </c>
      <c r="AP7" t="n">
        <v>8</v>
      </c>
      <c r="AQ7" t="n">
        <v>6</v>
      </c>
      <c r="AR7" t="n">
        <v>2</v>
      </c>
      <c r="AS7" t="n">
        <v>50</v>
      </c>
      <c r="AT7" t="n">
        <v>0.01</v>
      </c>
      <c r="AU7" t="n">
        <v>0.01</v>
      </c>
      <c r="AV7" t="n">
        <v>7.2</v>
      </c>
      <c r="AW7" t="inlineStr">
        <is>
          <t>30-32°C</t>
        </is>
      </c>
      <c r="AX7" t="n">
        <v>10</v>
      </c>
      <c r="AY7" t="n">
        <v>16</v>
      </c>
      <c r="AZ7" t="n">
        <v>22</v>
      </c>
      <c r="BA7" t="n">
        <v>30</v>
      </c>
      <c r="BB7" t="n">
        <v>40</v>
      </c>
      <c r="BD7" t="n">
        <v>6</v>
      </c>
      <c r="BE7" t="inlineStr">
        <is>
          <t>Tane-tsuke (inoc)</t>
        </is>
      </c>
      <c r="BF7" t="n">
        <v>2</v>
      </c>
      <c r="BG7" t="inlineStr">
        <is>
          <t>32-35°C</t>
        </is>
      </c>
      <c r="BH7" t="inlineStr">
        <is>
          <t>Even spores</t>
        </is>
      </c>
      <c r="BJ7" t="n">
        <v>6</v>
      </c>
      <c r="BK7" t="inlineStr">
        <is>
          <t>Tane-tsuke (inoc)</t>
        </is>
      </c>
      <c r="BL7" t="n">
        <v>2</v>
      </c>
      <c r="BM7" t="inlineStr">
        <is>
          <t>32-35°C</t>
        </is>
      </c>
      <c r="BN7" t="inlineStr">
        <is>
          <t>Even spores</t>
        </is>
      </c>
      <c r="BP7" t="n">
        <v>6</v>
      </c>
      <c r="BQ7" t="inlineStr">
        <is>
          <t>Tane-tsuke (inoc)</t>
        </is>
      </c>
      <c r="BR7" t="n">
        <v>2</v>
      </c>
      <c r="BS7" t="inlineStr">
        <is>
          <t>32°C</t>
        </is>
      </c>
      <c r="BT7" t="inlineStr">
        <is>
          <t>Even spores</t>
        </is>
      </c>
      <c r="BV7" t="n">
        <v>6</v>
      </c>
      <c r="BW7" t="inlineStr">
        <is>
          <t>Kirikaeshi (auto)</t>
        </is>
      </c>
      <c r="BX7" t="n">
        <v>10</v>
      </c>
      <c r="BY7" t="inlineStr">
        <is>
          <t>32-34°C</t>
        </is>
      </c>
      <c r="BZ7" t="inlineStr">
        <is>
          <t>Auto-mix</t>
        </is>
      </c>
      <c r="CB7" t="inlineStr">
        <is>
          <t>Machine (Kikai)</t>
        </is>
      </c>
      <c r="CC7" t="n">
        <v>75</v>
      </c>
      <c r="CD7" t="n">
        <v>76</v>
      </c>
      <c r="CE7" t="n">
        <v>77</v>
      </c>
      <c r="CF7" t="n">
        <v>78</v>
      </c>
      <c r="CG7" t="n">
        <v>79</v>
      </c>
      <c r="CH7" t="inlineStr">
        <is>
          <t>Yabuta (machine)</t>
        </is>
      </c>
      <c r="CI7" t="n">
        <v>0.9</v>
      </c>
      <c r="CJ7" t="inlineStr">
        <is>
          <t>Peak activity</t>
        </is>
      </c>
      <c r="CK7" t="inlineStr">
        <is>
          <t>Day 7</t>
        </is>
      </c>
      <c r="CL7" t="inlineStr">
        <is>
          <t>15-18°C</t>
        </is>
      </c>
      <c r="CM7" t="inlineStr">
        <is>
          <t>&lt;3.8</t>
        </is>
      </c>
      <c r="CN7" t="inlineStr">
        <is>
          <t>Maximum CO2</t>
        </is>
      </c>
      <c r="CO7" t="inlineStr">
        <is>
          <t>Dakidaru mid</t>
        </is>
      </c>
      <c r="CP7" t="inlineStr">
        <is>
          <t>Day 7</t>
        </is>
      </c>
      <c r="CQ7" t="inlineStr">
        <is>
          <t>12-15°C</t>
        </is>
      </c>
      <c r="CR7" t="inlineStr">
        <is>
          <t>4.5-4.2</t>
        </is>
      </c>
      <c r="CS7" t="inlineStr">
        <is>
          <t>Zigzag temp pattern</t>
        </is>
      </c>
      <c r="CT7" t="inlineStr">
        <is>
          <t>Active ferment</t>
        </is>
      </c>
      <c r="CU7" t="inlineStr">
        <is>
          <t>Day 23</t>
        </is>
      </c>
      <c r="CV7" t="inlineStr">
        <is>
          <t>18-20°C</t>
        </is>
      </c>
      <c r="CW7" t="inlineStr">
        <is>
          <t>3.8-3.5</t>
        </is>
      </c>
      <c r="CX7" t="inlineStr">
        <is>
          <t>Yeast dominates</t>
        </is>
      </c>
      <c r="CY7" t="inlineStr">
        <is>
          <t>Combine moto</t>
        </is>
      </c>
      <c r="CZ7" t="inlineStr">
        <is>
          <t>Day 10+</t>
        </is>
      </c>
      <c r="DA7" t="inlineStr">
        <is>
          <t>25-28°C</t>
        </is>
      </c>
      <c r="DB7" t="inlineStr">
        <is>
          <t>3.5-4.0</t>
        </is>
      </c>
      <c r="DC7" t="inlineStr">
        <is>
          <t>Add koji (40%), soyashi</t>
        </is>
      </c>
      <c r="DD7" t="inlineStr">
        <is>
          <t>Mizumoto (Okayama)</t>
        </is>
      </c>
      <c r="DE7" t="n">
        <v>103</v>
      </c>
      <c r="DF7" t="n">
        <v>104</v>
      </c>
      <c r="DG7" t="n">
        <v>105</v>
      </c>
      <c r="DH7" t="n">
        <v>106</v>
      </c>
      <c r="DI7" t="n">
        <v>107</v>
      </c>
      <c r="DJ7" t="inlineStr">
        <is>
          <t>Yūtsukiyasumi</t>
        </is>
      </c>
      <c r="DK7" t="inlineStr">
        <is>
          <t>Day 5</t>
        </is>
      </c>
      <c r="DL7" t="inlineStr">
        <is>
          <t>20°C</t>
        </is>
      </c>
      <c r="DM7" t="inlineStr">
        <is>
          <t>~4.0</t>
        </is>
      </c>
      <c r="DN7" t="inlineStr">
        <is>
          <t>Rest, self-heating</t>
        </is>
      </c>
      <c r="DO7" t="inlineStr">
        <is>
          <t>Complete</t>
        </is>
      </c>
      <c r="DP7" t="inlineStr">
        <is>
          <t>Day 10</t>
        </is>
      </c>
      <c r="DQ7" t="inlineStr">
        <is>
          <t>12-15°C</t>
        </is>
      </c>
      <c r="DR7" t="inlineStr">
        <is>
          <t>&lt;3.5</t>
        </is>
      </c>
      <c r="DS7" t="inlineStr">
        <is>
          <t>Ready (sweet, low ABV)</t>
        </is>
      </c>
      <c r="EA7" t="inlineStr">
        <is>
          <t>Kimoto moromi</t>
        </is>
      </c>
      <c r="EB7" t="n">
        <v>137</v>
      </c>
      <c r="EC7" t="n">
        <v>138</v>
      </c>
      <c r="ED7" t="n">
        <v>139</v>
      </c>
      <c r="EE7" t="n">
        <v>140</v>
      </c>
      <c r="EF7" t="n">
        <v>141</v>
      </c>
      <c r="EG7" t="inlineStr">
        <is>
          <t>Mizu-awa</t>
        </is>
      </c>
      <c r="EH7" t="inlineStr">
        <is>
          <t>Day 6-7</t>
        </is>
      </c>
      <c r="EI7" t="inlineStr">
        <is>
          <t>12-14°C</t>
        </is>
      </c>
      <c r="EJ7" t="inlineStr">
        <is>
          <t>Water</t>
        </is>
      </c>
      <c r="EK7" t="inlineStr">
        <is>
          <t>Light white froth</t>
        </is>
      </c>
      <c r="EM7" t="inlineStr">
        <is>
          <t>Mizu-awa</t>
        </is>
      </c>
      <c r="EN7" t="inlineStr">
        <is>
          <t>Day 8-10</t>
        </is>
      </c>
      <c r="EO7" t="inlineStr">
        <is>
          <t>10-12°C</t>
        </is>
      </c>
      <c r="EP7" t="inlineStr">
        <is>
          <t>Water</t>
        </is>
      </c>
      <c r="EQ7" t="inlineStr">
        <is>
          <t>Light froth forming</t>
        </is>
      </c>
      <c r="ES7" t="inlineStr">
        <is>
          <t>Mizu-awa</t>
        </is>
      </c>
      <c r="ET7" t="inlineStr">
        <is>
          <t>Day 10-14</t>
        </is>
      </c>
      <c r="EU7" t="inlineStr">
        <is>
          <t>8-10°C</t>
        </is>
      </c>
      <c r="EV7" t="inlineStr">
        <is>
          <t>Water</t>
        </is>
      </c>
      <c r="EW7" t="inlineStr">
        <is>
          <t>Delicate froth</t>
        </is>
      </c>
      <c r="EX7" t="n">
        <v>55</v>
      </c>
      <c r="EY7" t="inlineStr">
        <is>
          <t>Mizu-awa</t>
        </is>
      </c>
      <c r="EZ7" t="inlineStr">
        <is>
          <t>Day 5-6</t>
        </is>
      </c>
      <c r="FA7" t="inlineStr">
        <is>
          <t>15-17°C</t>
        </is>
      </c>
      <c r="FB7" t="inlineStr">
        <is>
          <t>Water</t>
        </is>
      </c>
      <c r="FC7" t="inlineStr">
        <is>
          <t>Rapid foam</t>
        </is>
      </c>
    </row>
    <row r="8" ht="18" customHeight="1">
      <c r="A8" s="120" t="inlineStr">
        <is>
          <t>Sokujo (lactic acid)</t>
        </is>
      </c>
      <c r="B8" s="122" t="inlineStr">
        <is>
          <t>Higuchi HO Shochu (White)</t>
        </is>
      </c>
      <c r="C8" s="38" t="inlineStr">
        <is>
          <t>White</t>
        </is>
      </c>
      <c r="D8" s="122" t="inlineStr">
        <is>
          <t>Mizumoto_Koji</t>
        </is>
      </c>
      <c r="E8" s="122" t="inlineStr">
        <is>
          <t>Okayama style with koji soyashi</t>
        </is>
      </c>
      <c r="F8" s="122" t="inlineStr">
        <is>
          <t>Lactic acid (90%)</t>
        </is>
      </c>
      <c r="G8" s="122" t="inlineStr">
        <is>
          <t>85%</t>
        </is>
      </c>
      <c r="H8" s="122" t="inlineStr">
        <is>
          <t>See notes</t>
        </is>
      </c>
      <c r="I8" s="122" t="inlineStr">
        <is>
          <t>Tomo-haze (Dense)</t>
        </is>
      </c>
      <c r="J8" s="122" t="inlineStr">
        <is>
          <t>Koji soyashi</t>
        </is>
      </c>
      <c r="K8" s="122" t="inlineStr">
        <is>
          <t>15 gal barrel</t>
        </is>
      </c>
      <c r="L8" s="122" t="n">
        <v>57</v>
      </c>
      <c r="M8" s="122" t="inlineStr">
        <is>
          <t>Dewasansan</t>
        </is>
      </c>
      <c r="N8" s="122" t="inlineStr">
        <is>
          <t>Quick Sou-haze</t>
        </is>
      </c>
      <c r="P8" t="inlineStr">
        <is>
          <t>Dewasansan</t>
        </is>
      </c>
      <c r="Q8" t="n">
        <v>0.42</v>
      </c>
      <c r="R8" t="n">
        <v>0.21</v>
      </c>
      <c r="S8" t="n">
        <v>2</v>
      </c>
      <c r="T8" t="n">
        <v>7.5</v>
      </c>
      <c r="U8" t="inlineStr">
        <is>
          <t>Yamagata breed - aromatic ginjo style</t>
        </is>
      </c>
      <c r="AA8" t="inlineStr">
        <is>
          <t>Fushimi Style (Kyoto)</t>
        </is>
      </c>
      <c r="AB8" t="n">
        <v>25</v>
      </c>
      <c r="AC8" t="n">
        <v>3</v>
      </c>
      <c r="AD8" t="n">
        <v>12</v>
      </c>
      <c r="AE8" t="n">
        <v>4</v>
      </c>
      <c r="AF8" t="n">
        <v>20</v>
      </c>
      <c r="AG8" t="n">
        <v>15</v>
      </c>
      <c r="AH8" t="n">
        <v>20</v>
      </c>
      <c r="AI8" t="n">
        <v>75</v>
      </c>
      <c r="AK8" t="inlineStr">
        <is>
          <t>Japan: Yamagata</t>
        </is>
      </c>
      <c r="AL8" t="n">
        <v>15</v>
      </c>
      <c r="AM8" t="n">
        <v>4</v>
      </c>
      <c r="AN8" t="n">
        <v>8</v>
      </c>
      <c r="AO8" t="n">
        <v>10</v>
      </c>
      <c r="AP8" t="n">
        <v>10</v>
      </c>
      <c r="AQ8" t="n">
        <v>8</v>
      </c>
      <c r="AR8" t="n">
        <v>3</v>
      </c>
      <c r="AS8" t="n">
        <v>60</v>
      </c>
      <c r="AT8" t="n">
        <v>0.01</v>
      </c>
      <c r="AU8" t="n">
        <v>0.01</v>
      </c>
      <c r="AV8" t="n">
        <v>7.2</v>
      </c>
      <c r="BD8" t="n">
        <v>7</v>
      </c>
      <c r="BE8" t="inlineStr">
        <is>
          <t>Wrap &amp; rest</t>
        </is>
      </c>
      <c r="BF8" t="n">
        <v>6</v>
      </c>
      <c r="BG8" t="inlineStr">
        <is>
          <t>32-34°C</t>
        </is>
      </c>
      <c r="BH8" t="inlineStr">
        <is>
          <t>Germination</t>
        </is>
      </c>
      <c r="BJ8" t="n">
        <v>7</v>
      </c>
      <c r="BK8" t="inlineStr">
        <is>
          <t>Kirikaeshi (1st mix)</t>
        </is>
      </c>
      <c r="BL8" t="n">
        <v>14</v>
      </c>
      <c r="BM8" t="inlineStr">
        <is>
          <t>32-34°C</t>
        </is>
      </c>
      <c r="BN8" t="inlineStr">
        <is>
          <t>Break clumps</t>
        </is>
      </c>
      <c r="BP8" t="n">
        <v>7</v>
      </c>
      <c r="BQ8" t="inlineStr">
        <is>
          <t>To tubs + lid</t>
        </is>
      </c>
      <c r="BR8" t="n">
        <v>3</v>
      </c>
      <c r="BS8" t="inlineStr">
        <is>
          <t>32°C</t>
        </is>
      </c>
      <c r="BT8" t="inlineStr">
        <is>
          <t>Loose lid on</t>
        </is>
      </c>
      <c r="BV8" t="n">
        <v>7</v>
      </c>
      <c r="BW8" t="inlineStr">
        <is>
          <t>Naka-shigoto (auto)</t>
        </is>
      </c>
      <c r="BX8" t="n">
        <v>22</v>
      </c>
      <c r="BY8" t="inlineStr">
        <is>
          <t>35-38°C</t>
        </is>
      </c>
      <c r="BZ8" t="inlineStr">
        <is>
          <t>Auto-furrow</t>
        </is>
      </c>
      <c r="CB8" t="n">
        <v>0.95</v>
      </c>
      <c r="CH8" t="inlineStr">
        <is>
          <t>Commercial</t>
        </is>
      </c>
      <c r="CI8" t="n">
        <v>0.95</v>
      </c>
      <c r="CJ8" t="inlineStr">
        <is>
          <t>Slow down</t>
        </is>
      </c>
      <c r="CK8" t="inlineStr">
        <is>
          <t>Day 9</t>
        </is>
      </c>
      <c r="CL8" t="inlineStr">
        <is>
          <t>12-15°C</t>
        </is>
      </c>
      <c r="CM8" t="inlineStr">
        <is>
          <t>&lt;3.6</t>
        </is>
      </c>
      <c r="CN8" t="inlineStr">
        <is>
          <t>Reduce temp</t>
        </is>
      </c>
      <c r="CO8" t="inlineStr">
        <is>
          <t>Dakidaru end</t>
        </is>
      </c>
      <c r="CP8" t="inlineStr">
        <is>
          <t>Day 14</t>
        </is>
      </c>
      <c r="CQ8" t="inlineStr">
        <is>
          <t>18-20°C</t>
        </is>
      </c>
      <c r="CR8" t="inlineStr">
        <is>
          <t>4.0-3.8</t>
        </is>
      </c>
      <c r="CS8" t="inlineStr">
        <is>
          <t>Near target temp</t>
        </is>
      </c>
      <c r="CT8" t="inlineStr">
        <is>
          <t>Slow down</t>
        </is>
      </c>
      <c r="CU8" t="inlineStr">
        <is>
          <t>Day 26</t>
        </is>
      </c>
      <c r="CV8" t="inlineStr">
        <is>
          <t>15-18°C</t>
        </is>
      </c>
      <c r="CW8" t="inlineStr">
        <is>
          <t>&lt;3.5</t>
        </is>
      </c>
      <c r="CX8" t="inlineStr">
        <is>
          <t>Reduce activity</t>
        </is>
      </c>
      <c r="CY8" t="inlineStr">
        <is>
          <t>Moto ferment</t>
        </is>
      </c>
      <c r="CZ8" t="inlineStr">
        <is>
          <t>Day 14</t>
        </is>
      </c>
      <c r="DA8" t="inlineStr">
        <is>
          <t>20-25°C</t>
        </is>
      </c>
      <c r="DB8" t="inlineStr">
        <is>
          <t>3.8-3.5</t>
        </is>
      </c>
      <c r="DC8" t="inlineStr">
        <is>
          <t>Yeast developing</t>
        </is>
      </c>
      <c r="DD8" t="inlineStr">
        <is>
          <t>Kō-on Tōka</t>
        </is>
      </c>
      <c r="DE8" t="n">
        <v>114</v>
      </c>
      <c r="DF8" t="n">
        <v>115</v>
      </c>
      <c r="DG8" t="n">
        <v>116</v>
      </c>
      <c r="DH8" t="n">
        <v>117</v>
      </c>
      <c r="DI8" t="n">
        <v>118</v>
      </c>
      <c r="DJ8" t="inlineStr">
        <is>
          <t>Extended Hakkō</t>
        </is>
      </c>
      <c r="DK8" t="inlineStr">
        <is>
          <t>Day 6</t>
        </is>
      </c>
      <c r="DL8" t="inlineStr">
        <is>
          <t>15-18°C</t>
        </is>
      </c>
      <c r="DM8" t="inlineStr">
        <is>
          <t>3.8-4.0</t>
        </is>
      </c>
      <c r="DN8" t="inlineStr">
        <is>
          <t>Flavor development</t>
        </is>
      </c>
      <c r="EA8" t="inlineStr">
        <is>
          <t>Bodaimoto moromi</t>
        </is>
      </c>
      <c r="EB8" t="n">
        <v>155</v>
      </c>
      <c r="EC8" t="n">
        <v>156</v>
      </c>
      <c r="ED8" t="n">
        <v>157</v>
      </c>
      <c r="EE8" t="n">
        <v>158</v>
      </c>
      <c r="EF8" t="n">
        <v>159</v>
      </c>
      <c r="EG8" t="inlineStr">
        <is>
          <t>Iwa-awa</t>
        </is>
      </c>
      <c r="EH8" t="inlineStr">
        <is>
          <t>Day 8-10</t>
        </is>
      </c>
      <c r="EI8" t="inlineStr">
        <is>
          <t>14-16°C</t>
        </is>
      </c>
      <c r="EJ8" t="inlineStr">
        <is>
          <t>Rock</t>
        </is>
      </c>
      <c r="EK8" t="inlineStr">
        <is>
          <t>Most active, rocky foam</t>
        </is>
      </c>
      <c r="EM8" t="inlineStr">
        <is>
          <t>Iwa-awa</t>
        </is>
      </c>
      <c r="EN8" t="inlineStr">
        <is>
          <t>Day 11-14</t>
        </is>
      </c>
      <c r="EO8" t="inlineStr">
        <is>
          <t>12-14°C</t>
        </is>
      </c>
      <c r="EP8" t="inlineStr">
        <is>
          <t>Rock</t>
        </is>
      </c>
      <c r="EQ8" t="inlineStr">
        <is>
          <t>Active but controlled</t>
        </is>
      </c>
      <c r="ES8" t="inlineStr">
        <is>
          <t>Iwa-awa</t>
        </is>
      </c>
      <c r="ET8" t="inlineStr">
        <is>
          <t>Day 15-20</t>
        </is>
      </c>
      <c r="EU8" t="inlineStr">
        <is>
          <t>10-12°C</t>
        </is>
      </c>
      <c r="EV8" t="inlineStr">
        <is>
          <t>Rock</t>
        </is>
      </c>
      <c r="EW8" t="inlineStr">
        <is>
          <t>Controlled activity</t>
        </is>
      </c>
      <c r="EX8" t="n">
        <v>60</v>
      </c>
      <c r="EY8" t="inlineStr">
        <is>
          <t>Iwa-awa</t>
        </is>
      </c>
      <c r="EZ8" t="inlineStr">
        <is>
          <t>Day 7-9</t>
        </is>
      </c>
      <c r="FA8" t="inlineStr">
        <is>
          <t>16-18°C</t>
        </is>
      </c>
      <c r="FB8" t="inlineStr">
        <is>
          <t>Rock</t>
        </is>
      </c>
      <c r="FC8" t="inlineStr">
        <is>
          <t>Very active</t>
        </is>
      </c>
    </row>
    <row r="9" ht="18" customHeight="1">
      <c r="A9" s="57" t="inlineStr">
        <is>
          <t>Sokujo (yogurt-based)</t>
        </is>
      </c>
      <c r="B9" s="136" t="inlineStr">
        <is>
          <t>Akita Konno A-1 (Yellow)</t>
        </is>
      </c>
      <c r="C9" s="38" t="inlineStr">
        <is>
          <t>Yellow</t>
        </is>
      </c>
      <c r="D9" s="136" t="inlineStr">
        <is>
          <t>Koon_Toka</t>
        </is>
      </c>
      <c r="E9" s="136" t="inlineStr">
        <is>
          <t>High-temp saccharification</t>
        </is>
      </c>
      <c r="F9" s="136" t="inlineStr">
        <is>
          <t>Phosphoric acid (85%)</t>
        </is>
      </c>
      <c r="G9" s="136" t="inlineStr">
        <is>
          <t>100%</t>
        </is>
      </c>
      <c r="H9" s="136" t="inlineStr">
        <is>
          <t>4g per 590mL</t>
        </is>
      </c>
      <c r="I9" s="136" t="n"/>
      <c r="J9" s="136" t="inlineStr">
        <is>
          <t>Added</t>
        </is>
      </c>
      <c r="K9" s="136" t="inlineStr">
        <is>
          <t>30L tank</t>
        </is>
      </c>
      <c r="L9" s="136" t="n">
        <v>30</v>
      </c>
      <c r="M9" s="136" t="inlineStr">
        <is>
          <t>Kame no O</t>
        </is>
      </c>
      <c r="N9" s="136" t="n"/>
      <c r="P9" s="107" t="inlineStr">
        <is>
          <t>Kame no O</t>
        </is>
      </c>
      <c r="Q9" t="n">
        <v>0.43</v>
      </c>
      <c r="R9" t="n">
        <v>0.2</v>
      </c>
      <c r="S9" t="n">
        <v>2.15</v>
      </c>
      <c r="T9" t="n">
        <v>7</v>
      </c>
      <c r="U9" t="inlineStr">
        <is>
          <t>Ancient variety (1893) - complex, layered</t>
        </is>
      </c>
      <c r="AA9" t="inlineStr">
        <is>
          <t>Hiroshima Style (soft)</t>
        </is>
      </c>
      <c r="AB9" t="n">
        <v>10</v>
      </c>
      <c r="AC9" t="n">
        <v>2</v>
      </c>
      <c r="AD9" t="n">
        <v>5</v>
      </c>
      <c r="AE9" t="n">
        <v>3</v>
      </c>
      <c r="AF9" t="n">
        <v>5</v>
      </c>
      <c r="AG9" t="n">
        <v>5</v>
      </c>
      <c r="AH9" t="n">
        <v>5</v>
      </c>
      <c r="AI9" t="n">
        <v>30</v>
      </c>
      <c r="AK9" t="inlineStr">
        <is>
          <t>USA: Portland OR</t>
        </is>
      </c>
      <c r="AL9" t="n">
        <v>1</v>
      </c>
      <c r="AM9" t="n">
        <v>1</v>
      </c>
      <c r="AN9" t="n">
        <v>0</v>
      </c>
      <c r="AO9" t="n">
        <v>1</v>
      </c>
      <c r="AP9" t="n">
        <v>2</v>
      </c>
      <c r="AQ9" t="n">
        <v>2</v>
      </c>
      <c r="AR9" t="n">
        <v>0</v>
      </c>
      <c r="AS9" t="n">
        <v>8</v>
      </c>
      <c r="AT9" t="n">
        <v>0</v>
      </c>
      <c r="AU9" t="n">
        <v>0.02</v>
      </c>
      <c r="AV9" t="n">
        <v>8.5</v>
      </c>
      <c r="BD9" t="n">
        <v>8</v>
      </c>
      <c r="BE9" t="inlineStr">
        <is>
          <t>Kirikaeshi (1st mix)</t>
        </is>
      </c>
      <c r="BF9" t="n">
        <v>12</v>
      </c>
      <c r="BG9" t="inlineStr">
        <is>
          <t>32-34°C</t>
        </is>
      </c>
      <c r="BH9" t="inlineStr">
        <is>
          <t>Break clumps</t>
        </is>
      </c>
      <c r="BJ9" t="n">
        <v>8</v>
      </c>
      <c r="BK9" t="inlineStr">
        <is>
          <t>Mori (to boxes)</t>
        </is>
      </c>
      <c r="BL9" t="n">
        <v>20</v>
      </c>
      <c r="BM9" t="inlineStr">
        <is>
          <t>33-35°C</t>
        </is>
      </c>
      <c r="BN9" t="inlineStr">
        <is>
          <t>15kg per box</t>
        </is>
      </c>
      <c r="BP9" t="n">
        <v>8</v>
      </c>
      <c r="BQ9" t="inlineStr">
        <is>
          <t>Mori (spread in tub)</t>
        </is>
      </c>
      <c r="BR9" t="n">
        <v>18</v>
      </c>
      <c r="BS9" t="inlineStr">
        <is>
          <t>33-35°C</t>
        </is>
      </c>
      <c r="BT9" t="inlineStr">
        <is>
          <t>15kg per tub</t>
        </is>
      </c>
      <c r="BV9" t="n">
        <v>8</v>
      </c>
      <c r="BW9" t="inlineStr">
        <is>
          <t>Shimai-shigoto (auto)</t>
        </is>
      </c>
      <c r="BX9" t="n">
        <v>30</v>
      </c>
      <c r="BY9" t="inlineStr">
        <is>
          <t>38-42°C</t>
        </is>
      </c>
      <c r="BZ9" t="inlineStr">
        <is>
          <t>Auto-control</t>
        </is>
      </c>
      <c r="CJ9" t="inlineStr">
        <is>
          <t>Moto ready</t>
        </is>
      </c>
      <c r="CK9" t="inlineStr">
        <is>
          <t>Day 10</t>
        </is>
      </c>
      <c r="CL9" t="inlineStr">
        <is>
          <t>10-12°C</t>
        </is>
      </c>
      <c r="CM9" t="inlineStr">
        <is>
          <t>&lt;3.5</t>
        </is>
      </c>
      <c r="CN9" t="inlineStr">
        <is>
          <t>Strong yeast, ready for Soe</t>
        </is>
      </c>
      <c r="CO9" t="inlineStr">
        <is>
          <t>Yeast pitch</t>
        </is>
      </c>
      <c r="CP9" t="inlineStr">
        <is>
          <t>Day 15</t>
        </is>
      </c>
      <c r="CQ9" t="inlineStr">
        <is>
          <t>20°C</t>
        </is>
      </c>
      <c r="CR9" t="inlineStr">
        <is>
          <t>3.8-3.6</t>
        </is>
      </c>
      <c r="CS9" t="inlineStr">
        <is>
          <t>Add yeast (or wild)</t>
        </is>
      </c>
      <c r="CT9" t="inlineStr">
        <is>
          <t>Moto ready</t>
        </is>
      </c>
      <c r="CU9" t="inlineStr">
        <is>
          <t>Day 30</t>
        </is>
      </c>
      <c r="CV9" t="inlineStr">
        <is>
          <t>12-15°C</t>
        </is>
      </c>
      <c r="CW9" t="inlineStr">
        <is>
          <t>&lt;3.4</t>
        </is>
      </c>
      <c r="CX9" t="inlineStr">
        <is>
          <t>Ready for Soe</t>
        </is>
      </c>
      <c r="CY9" t="inlineStr">
        <is>
          <t>Active phase</t>
        </is>
      </c>
      <c r="CZ9" t="inlineStr">
        <is>
          <t>Day 18</t>
        </is>
      </c>
      <c r="DA9" t="inlineStr">
        <is>
          <t>20-25°C</t>
        </is>
      </c>
      <c r="DB9" t="inlineStr">
        <is>
          <t>&lt;3.5</t>
        </is>
      </c>
      <c r="DC9" t="inlineStr">
        <is>
          <t>Strong ferment</t>
        </is>
      </c>
      <c r="DD9" t="inlineStr">
        <is>
          <t>Short Kimoto</t>
        </is>
      </c>
      <c r="DE9" t="n">
        <v>93</v>
      </c>
      <c r="DF9" t="n">
        <v>94</v>
      </c>
      <c r="DG9" t="n">
        <v>95</v>
      </c>
      <c r="DH9" t="n">
        <v>96</v>
      </c>
      <c r="DI9" t="n">
        <v>97</v>
      </c>
      <c r="DJ9" t="inlineStr">
        <is>
          <t>Moto ready</t>
        </is>
      </c>
      <c r="DK9" t="inlineStr">
        <is>
          <t>Day 7</t>
        </is>
      </c>
      <c r="DL9" t="inlineStr">
        <is>
          <t>12-15°C</t>
        </is>
      </c>
      <c r="DM9" t="inlineStr">
        <is>
          <t>&lt;3.8</t>
        </is>
      </c>
      <c r="DN9" t="inlineStr">
        <is>
          <t>Ready for Soe</t>
        </is>
      </c>
      <c r="EG9" t="inlineStr">
        <is>
          <t>Taka-awa</t>
        </is>
      </c>
      <c r="EH9" t="inlineStr">
        <is>
          <t>Day 10-12</t>
        </is>
      </c>
      <c r="EI9" t="inlineStr">
        <is>
          <t>14-16°C</t>
        </is>
      </c>
      <c r="EJ9" t="inlineStr">
        <is>
          <t>High</t>
        </is>
      </c>
      <c r="EK9" t="inlineStr">
        <is>
          <t>Peak foam, fine bubbles</t>
        </is>
      </c>
      <c r="EM9" t="inlineStr">
        <is>
          <t>Taka-awa</t>
        </is>
      </c>
      <c r="EN9" t="inlineStr">
        <is>
          <t>Day 15-18</t>
        </is>
      </c>
      <c r="EO9" t="inlineStr">
        <is>
          <t>12-14°C</t>
        </is>
      </c>
      <c r="EP9" t="inlineStr">
        <is>
          <t>High</t>
        </is>
      </c>
      <c r="EQ9" t="inlineStr">
        <is>
          <t>Peak foam stage</t>
        </is>
      </c>
      <c r="ES9" t="inlineStr">
        <is>
          <t>Taka-awa</t>
        </is>
      </c>
      <c r="ET9" t="inlineStr">
        <is>
          <t>Day 21-25</t>
        </is>
      </c>
      <c r="EU9" t="inlineStr">
        <is>
          <t>10-12°C</t>
        </is>
      </c>
      <c r="EV9" t="inlineStr">
        <is>
          <t>High</t>
        </is>
      </c>
      <c r="EW9" t="inlineStr">
        <is>
          <t>Extended peak</t>
        </is>
      </c>
      <c r="EX9" t="n">
        <v>65</v>
      </c>
      <c r="EY9" t="inlineStr">
        <is>
          <t>Taka-awa</t>
        </is>
      </c>
      <c r="EZ9" t="inlineStr">
        <is>
          <t>Day 10-11</t>
        </is>
      </c>
      <c r="FA9" t="inlineStr">
        <is>
          <t>16-18°C</t>
        </is>
      </c>
      <c r="FB9" t="inlineStr">
        <is>
          <t>High</t>
        </is>
      </c>
      <c r="FC9" t="inlineStr">
        <is>
          <t>Peak activity</t>
        </is>
      </c>
    </row>
    <row r="10" ht="18" customHeight="1">
      <c r="A10" s="120" t="inlineStr">
        <is>
          <t>Short-moto (fast kimoto-style)</t>
        </is>
      </c>
      <c r="B10" s="122" t="inlineStr">
        <is>
          <t>Akita Konno A-24 Ginjo (Yellow)</t>
        </is>
      </c>
      <c r="C10" s="38" t="inlineStr">
        <is>
          <t>Yellow</t>
        </is>
      </c>
      <c r="D10" s="38" t="n"/>
      <c r="E10" s="38" t="n"/>
      <c r="F10" s="38" t="inlineStr">
        <is>
          <t>Citric acid powder</t>
        </is>
      </c>
      <c r="G10" s="38" t="n"/>
      <c r="H10" s="38" t="n"/>
      <c r="I10" s="38" t="n"/>
      <c r="J10" s="38" t="n"/>
      <c r="K10" s="122" t="inlineStr">
        <is>
          <t>50L tank</t>
        </is>
      </c>
      <c r="L10" s="122" t="n">
        <v>50</v>
      </c>
      <c r="M10" s="122" t="inlineStr">
        <is>
          <t>Tamazakae</t>
        </is>
      </c>
      <c r="N10" s="122" t="n"/>
      <c r="P10" s="124" t="inlineStr">
        <is>
          <t>Tamazakae</t>
        </is>
      </c>
      <c r="Q10" s="124" t="n">
        <v>0.44</v>
      </c>
      <c r="R10" s="124" t="n">
        <v>0.2</v>
      </c>
      <c r="S10" s="124" t="n">
        <v>2.2</v>
      </c>
      <c r="T10" s="124" t="n">
        <v>6.9</v>
      </c>
      <c r="U10" s="124" t="inlineStr">
        <is>
          <t>Shiga specialty - soft, elegant</t>
        </is>
      </c>
      <c r="V10" s="124" t="inlineStr">
        <is>
          <t>PO4</t>
        </is>
      </c>
      <c r="W10" s="124" t="inlineStr">
        <is>
          <t>Na</t>
        </is>
      </c>
      <c r="X10" s="124" t="inlineStr">
        <is>
          <t>N</t>
        </is>
      </c>
      <c r="Y10" s="124" t="inlineStr">
        <is>
          <t>MaxG/L</t>
        </is>
      </c>
      <c r="AA10" t="inlineStr">
        <is>
          <t>Balanced (general)</t>
        </is>
      </c>
      <c r="AB10" t="n">
        <v>20</v>
      </c>
      <c r="AC10" t="n">
        <v>5</v>
      </c>
      <c r="AD10" t="n">
        <v>12</v>
      </c>
      <c r="AE10" t="n">
        <v>4</v>
      </c>
      <c r="AF10" t="n">
        <v>15</v>
      </c>
      <c r="AG10" t="n">
        <v>12</v>
      </c>
      <c r="AH10" t="n">
        <v>15</v>
      </c>
      <c r="AI10" t="n">
        <v>70</v>
      </c>
      <c r="AK10" t="inlineStr">
        <is>
          <t>USA: Seattle WA</t>
        </is>
      </c>
      <c r="AL10" t="n">
        <v>8</v>
      </c>
      <c r="AM10" t="n">
        <v>1</v>
      </c>
      <c r="AN10" t="n">
        <v>0</v>
      </c>
      <c r="AO10" t="n">
        <v>2</v>
      </c>
      <c r="AP10" t="n">
        <v>3</v>
      </c>
      <c r="AQ10" t="n">
        <v>5</v>
      </c>
      <c r="AR10" t="n">
        <v>1</v>
      </c>
      <c r="AS10" t="n">
        <v>25</v>
      </c>
      <c r="AT10" t="n">
        <v>0</v>
      </c>
      <c r="AU10" t="n">
        <v>0.002</v>
      </c>
      <c r="AV10" t="n">
        <v>8.199999999999999</v>
      </c>
      <c r="BD10" t="n">
        <v>9</v>
      </c>
      <c r="BE10" t="inlineStr">
        <is>
          <t>Mori (to trays)</t>
        </is>
      </c>
      <c r="BF10" t="n">
        <v>21</v>
      </c>
      <c r="BG10" t="inlineStr">
        <is>
          <t>33-35°C</t>
        </is>
      </c>
      <c r="BH10" t="inlineStr">
        <is>
          <t>1.5kg per tray</t>
        </is>
      </c>
      <c r="BJ10" t="n">
        <v>9</v>
      </c>
      <c r="BK10" t="inlineStr">
        <is>
          <t>Naka-shigoto</t>
        </is>
      </c>
      <c r="BL10" t="n">
        <v>26</v>
      </c>
      <c r="BM10" t="inlineStr">
        <is>
          <t>35-38°C</t>
        </is>
      </c>
      <c r="BN10" t="inlineStr">
        <is>
          <t>10-50% coverage</t>
        </is>
      </c>
      <c r="BP10" t="n">
        <v>9</v>
      </c>
      <c r="BQ10" t="inlineStr">
        <is>
          <t>Naka-shigoto</t>
        </is>
      </c>
      <c r="BR10" t="n">
        <v>26</v>
      </c>
      <c r="BS10" t="inlineStr">
        <is>
          <t>34-36°C</t>
        </is>
      </c>
      <c r="BT10" t="inlineStr">
        <is>
          <t>10-50% coverage</t>
        </is>
      </c>
      <c r="BV10" t="n">
        <v>9</v>
      </c>
      <c r="BW10" t="inlineStr">
        <is>
          <t>Dekoji (harvest)</t>
        </is>
      </c>
      <c r="BX10" t="n">
        <v>40</v>
      </c>
      <c r="BY10" t="inlineStr">
        <is>
          <t>Cool</t>
        </is>
      </c>
      <c r="BZ10" t="inlineStr">
        <is>
          <t>15-17% moisture</t>
        </is>
      </c>
      <c r="CA10" t="inlineStr">
        <is>
          <t>Dry × 1.15</t>
        </is>
      </c>
      <c r="CO10" t="inlineStr">
        <is>
          <t>Wakitsuki</t>
        </is>
      </c>
      <c r="CP10" t="inlineStr">
        <is>
          <t>Day 20</t>
        </is>
      </c>
      <c r="CQ10" t="inlineStr">
        <is>
          <t>20°C</t>
        </is>
      </c>
      <c r="CR10" t="inlineStr">
        <is>
          <t>3.6-3.4</t>
        </is>
      </c>
      <c r="CS10" t="inlineStr">
        <is>
          <t>Active yeast growth</t>
        </is>
      </c>
      <c r="CY10" t="inlineStr">
        <is>
          <t>Moto ready</t>
        </is>
      </c>
      <c r="CZ10" t="inlineStr">
        <is>
          <t>Day 24</t>
        </is>
      </c>
      <c r="DA10" t="inlineStr">
        <is>
          <t>18-20°C</t>
        </is>
      </c>
      <c r="DB10" t="inlineStr">
        <is>
          <t>&lt;3.4</t>
        </is>
      </c>
      <c r="DC10" t="inlineStr">
        <is>
          <t>Ready for Soe</t>
        </is>
      </c>
      <c r="DD10" t="inlineStr">
        <is>
          <t>Yogurt Sokujo</t>
        </is>
      </c>
      <c r="DE10" t="n">
        <v>88</v>
      </c>
      <c r="DF10" t="n">
        <v>89</v>
      </c>
      <c r="DG10" t="n">
        <v>90</v>
      </c>
      <c r="DH10" t="n">
        <v>91</v>
      </c>
      <c r="DI10" t="n">
        <v>92</v>
      </c>
      <c r="EG10" t="inlineStr">
        <is>
          <t>Ochi-awa</t>
        </is>
      </c>
      <c r="EH10" t="inlineStr">
        <is>
          <t>Day 13-15</t>
        </is>
      </c>
      <c r="EI10" t="inlineStr">
        <is>
          <t>12-14°C</t>
        </is>
      </c>
      <c r="EJ10" t="inlineStr">
        <is>
          <t>Falling</t>
        </is>
      </c>
      <c r="EK10" t="inlineStr">
        <is>
          <t>Foam receding</t>
        </is>
      </c>
      <c r="EM10" t="inlineStr">
        <is>
          <t>Ochi-awa</t>
        </is>
      </c>
      <c r="EN10" t="inlineStr">
        <is>
          <t>Day 19-22</t>
        </is>
      </c>
      <c r="EO10" t="inlineStr">
        <is>
          <t>10-12°C</t>
        </is>
      </c>
      <c r="EP10" t="inlineStr">
        <is>
          <t>Falling</t>
        </is>
      </c>
      <c r="EQ10" t="inlineStr">
        <is>
          <t>Slow decline</t>
        </is>
      </c>
      <c r="ES10" t="inlineStr">
        <is>
          <t>Ochi-awa</t>
        </is>
      </c>
      <c r="ET10" t="inlineStr">
        <is>
          <t>Day 26-30</t>
        </is>
      </c>
      <c r="EU10" t="inlineStr">
        <is>
          <t>8-10°C</t>
        </is>
      </c>
      <c r="EV10" t="inlineStr">
        <is>
          <t>Falling</t>
        </is>
      </c>
      <c r="EW10" t="inlineStr">
        <is>
          <t>Gradual decline</t>
        </is>
      </c>
      <c r="EX10" t="n">
        <v>70</v>
      </c>
      <c r="EY10" t="inlineStr">
        <is>
          <t>Ochi-awa</t>
        </is>
      </c>
      <c r="EZ10" t="inlineStr">
        <is>
          <t>Day 12-14</t>
        </is>
      </c>
      <c r="FA10" t="inlineStr">
        <is>
          <t>14-16°C</t>
        </is>
      </c>
      <c r="FB10" t="inlineStr">
        <is>
          <t>Falling</t>
        </is>
      </c>
      <c r="FC10" t="inlineStr">
        <is>
          <t>Rapid decline</t>
        </is>
      </c>
    </row>
    <row r="11" ht="18" customHeight="1">
      <c r="A11" s="57" t="inlineStr">
        <is>
          <t>Kōon-touka (warm starter)</t>
        </is>
      </c>
      <c r="B11" s="136" t="inlineStr">
        <is>
          <t>Akita Konno SP-koji (Yellow)</t>
        </is>
      </c>
      <c r="C11" s="38" t="inlineStr">
        <is>
          <t>Yellow</t>
        </is>
      </c>
      <c r="D11" s="38" t="n"/>
      <c r="E11" s="38" t="n"/>
      <c r="F11" s="38" t="n"/>
      <c r="G11" s="38" t="n"/>
      <c r="H11" s="38" t="n"/>
      <c r="I11" s="38" t="n"/>
      <c r="J11" s="38" t="n"/>
      <c r="K11" s="136" t="inlineStr">
        <is>
          <t>100L tank</t>
        </is>
      </c>
      <c r="L11" s="136" t="n">
        <v>100</v>
      </c>
      <c r="M11" s="136" t="inlineStr">
        <is>
          <t>Hanafubuki</t>
        </is>
      </c>
      <c r="N11" s="136" t="n"/>
      <c r="P11" s="125" t="inlineStr">
        <is>
          <t>Hanafubuki</t>
        </is>
      </c>
      <c r="Q11" s="125" t="n">
        <v>0.43</v>
      </c>
      <c r="R11" s="125" t="n">
        <v>0.21</v>
      </c>
      <c r="S11" s="125" t="n">
        <v>2.05</v>
      </c>
      <c r="T11" s="125" t="n">
        <v>7.1</v>
      </c>
      <c r="U11" s="125" t="inlineStr">
        <is>
          <t>Aomori variety - light, delicate</t>
        </is>
      </c>
      <c r="V11" s="125" t="n">
        <v>0</v>
      </c>
      <c r="W11" s="125" t="n">
        <v>0</v>
      </c>
      <c r="X11" s="125" t="n">
        <v>0</v>
      </c>
      <c r="Y11" s="125" t="n">
        <v>2.5</v>
      </c>
      <c r="AA11" t="inlineStr">
        <is>
          <t>Minimal (RO base)</t>
        </is>
      </c>
      <c r="AB11" t="n">
        <v>5</v>
      </c>
      <c r="AC11" t="n">
        <v>2</v>
      </c>
      <c r="AD11" t="n">
        <v>5</v>
      </c>
      <c r="AE11" t="n">
        <v>2</v>
      </c>
      <c r="AF11" t="n">
        <v>5</v>
      </c>
      <c r="AG11" t="n">
        <v>5</v>
      </c>
      <c r="AH11" t="n">
        <v>5</v>
      </c>
      <c r="AI11" t="n">
        <v>20</v>
      </c>
      <c r="AK11" t="inlineStr">
        <is>
          <t>USA: San Francisco CA</t>
        </is>
      </c>
      <c r="AL11" t="n">
        <v>10</v>
      </c>
      <c r="AM11" t="n">
        <v>3</v>
      </c>
      <c r="AN11" t="n">
        <v>1</v>
      </c>
      <c r="AO11" t="n">
        <v>5</v>
      </c>
      <c r="AP11" t="n">
        <v>8</v>
      </c>
      <c r="AQ11" t="n">
        <v>8</v>
      </c>
      <c r="AR11" t="n">
        <v>1</v>
      </c>
      <c r="AS11" t="n">
        <v>40</v>
      </c>
      <c r="AT11" t="n">
        <v>0.014</v>
      </c>
      <c r="AU11" t="n">
        <v>0.002</v>
      </c>
      <c r="AV11" t="n">
        <v>9.199999999999999</v>
      </c>
      <c r="BD11" t="n">
        <v>10</v>
      </c>
      <c r="BE11" t="inlineStr">
        <is>
          <t>Naka-shigoto</t>
        </is>
      </c>
      <c r="BF11" t="n">
        <v>28</v>
      </c>
      <c r="BG11" t="inlineStr">
        <is>
          <t>35-38°C</t>
        </is>
      </c>
      <c r="BH11" t="inlineStr">
        <is>
          <t>10-50% coverage</t>
        </is>
      </c>
      <c r="BJ11" t="n">
        <v>10</v>
      </c>
      <c r="BK11" t="inlineStr">
        <is>
          <t>Shimai-shigoto</t>
        </is>
      </c>
      <c r="BL11" t="n">
        <v>34</v>
      </c>
      <c r="BM11" t="inlineStr">
        <is>
          <t>38-42°C</t>
        </is>
      </c>
      <c r="BN11" t="inlineStr">
        <is>
          <t>Remove lids</t>
        </is>
      </c>
      <c r="BP11" t="n">
        <v>10</v>
      </c>
      <c r="BQ11" t="inlineStr">
        <is>
          <t>Shimai-shigoto</t>
        </is>
      </c>
      <c r="BR11" t="n">
        <v>32</v>
      </c>
      <c r="BS11" t="inlineStr">
        <is>
          <t>38-40°C</t>
        </is>
      </c>
      <c r="BT11" t="inlineStr">
        <is>
          <t>Towels replace lid</t>
        </is>
      </c>
      <c r="CO11" t="inlineStr">
        <is>
          <t>Maturation</t>
        </is>
      </c>
      <c r="CP11" t="inlineStr">
        <is>
          <t>Day 30</t>
        </is>
      </c>
      <c r="CQ11" t="inlineStr">
        <is>
          <t>15-18°C</t>
        </is>
      </c>
      <c r="CR11" t="inlineStr">
        <is>
          <t>&lt;3.4</t>
        </is>
      </c>
      <c r="CS11" t="inlineStr">
        <is>
          <t>Slow, rest period</t>
        </is>
      </c>
      <c r="DD11" t="inlineStr">
        <is>
          <t>1878 Tokyo</t>
        </is>
      </c>
      <c r="DE11" t="n">
        <v>93</v>
      </c>
      <c r="DF11" t="n">
        <v>94</v>
      </c>
      <c r="DG11" t="n">
        <v>95</v>
      </c>
      <c r="DH11" t="n">
        <v>96</v>
      </c>
      <c r="DI11" t="n">
        <v>97</v>
      </c>
      <c r="EG11" t="inlineStr">
        <is>
          <t>Tama-awa</t>
        </is>
      </c>
      <c r="EH11" t="inlineStr">
        <is>
          <t>Day 16-18</t>
        </is>
      </c>
      <c r="EI11" t="inlineStr">
        <is>
          <t>10-12°C</t>
        </is>
      </c>
      <c r="EJ11" t="inlineStr">
        <is>
          <t>Ball</t>
        </is>
      </c>
      <c r="EK11" t="inlineStr">
        <is>
          <t>Soap-like bubbles</t>
        </is>
      </c>
      <c r="EM11" t="inlineStr">
        <is>
          <t>Tama-awa</t>
        </is>
      </c>
      <c r="EN11" t="inlineStr">
        <is>
          <t>Day 23-26</t>
        </is>
      </c>
      <c r="EO11" t="inlineStr">
        <is>
          <t>8-10°C</t>
        </is>
      </c>
      <c r="EP11" t="inlineStr">
        <is>
          <t>Ball</t>
        </is>
      </c>
      <c r="EQ11" t="inlineStr">
        <is>
          <t>Gentle finish</t>
        </is>
      </c>
      <c r="ES11" t="inlineStr">
        <is>
          <t>Tama-awa</t>
        </is>
      </c>
      <c r="ET11" t="inlineStr">
        <is>
          <t>Day 31-35</t>
        </is>
      </c>
      <c r="EU11" t="inlineStr">
        <is>
          <t>6-8°C</t>
        </is>
      </c>
      <c r="EV11" t="inlineStr">
        <is>
          <t>Ball</t>
        </is>
      </c>
      <c r="EW11" t="inlineStr">
        <is>
          <t>Fine finish</t>
        </is>
      </c>
      <c r="EX11" t="n">
        <v>75</v>
      </c>
      <c r="EY11" t="inlineStr">
        <is>
          <t>Tama-awa</t>
        </is>
      </c>
      <c r="EZ11" t="inlineStr">
        <is>
          <t>Day 15-16</t>
        </is>
      </c>
      <c r="FA11" t="inlineStr">
        <is>
          <t>12-14°C</t>
        </is>
      </c>
      <c r="FB11" t="inlineStr">
        <is>
          <t>Ball</t>
        </is>
      </c>
      <c r="FC11" t="inlineStr">
        <is>
          <t>Finishing</t>
        </is>
      </c>
    </row>
    <row r="12" ht="18" customHeight="1">
      <c r="A12" s="120" t="inlineStr">
        <is>
          <t>No-moto / kakezukuri</t>
        </is>
      </c>
      <c r="B12" s="122" t="inlineStr">
        <is>
          <t>Akita Konno SG Sou-haze (Yellow)</t>
        </is>
      </c>
      <c r="C12" s="38" t="inlineStr">
        <is>
          <t>Yellow</t>
        </is>
      </c>
      <c r="D12" s="38" t="n"/>
      <c r="E12" s="38" t="n"/>
      <c r="F12" s="38" t="n"/>
      <c r="G12" s="38" t="n"/>
      <c r="H12" s="38" t="n"/>
      <c r="I12" s="38" t="n"/>
      <c r="J12" s="38" t="n"/>
      <c r="K12" s="122" t="inlineStr">
        <is>
          <t>110L tank</t>
        </is>
      </c>
      <c r="L12" s="122" t="n">
        <v>110</v>
      </c>
      <c r="M12" s="122" t="inlineStr">
        <is>
          <t>Ginpu</t>
        </is>
      </c>
      <c r="N12" s="122" t="n"/>
      <c r="P12" s="125" t="inlineStr">
        <is>
          <t>Ginpu</t>
        </is>
      </c>
      <c r="Q12" s="125" t="n">
        <v>0.44</v>
      </c>
      <c r="R12" s="125" t="n">
        <v>0.2</v>
      </c>
      <c r="S12" s="125" t="n">
        <v>2.2</v>
      </c>
      <c r="T12" s="125" t="n">
        <v>6.8</v>
      </c>
      <c r="U12" s="125" t="inlineStr">
        <is>
          <t>Hokkaido ginjo rice - cold resistant</t>
        </is>
      </c>
      <c r="V12" s="125" t="n">
        <v>0</v>
      </c>
      <c r="W12" s="125" t="n">
        <v>0</v>
      </c>
      <c r="X12" s="125" t="n">
        <v>0</v>
      </c>
      <c r="Y12" s="125" t="n">
        <v>100</v>
      </c>
      <c r="AA12" t="inlineStr">
        <is>
          <t>US Tap (Average)</t>
        </is>
      </c>
      <c r="AB12" t="n">
        <v>25</v>
      </c>
      <c r="AC12" t="n">
        <v>7</v>
      </c>
      <c r="AD12" t="n">
        <v>5</v>
      </c>
      <c r="AE12" t="n">
        <v>1</v>
      </c>
      <c r="AF12" t="n">
        <v>20</v>
      </c>
      <c r="AG12" t="n">
        <v>25</v>
      </c>
      <c r="AH12" t="n">
        <v>30</v>
      </c>
      <c r="AI12" t="n">
        <v>90</v>
      </c>
      <c r="AK12" t="inlineStr">
        <is>
          <t>USA: Sacramento CA</t>
        </is>
      </c>
      <c r="AL12" t="n">
        <v>14</v>
      </c>
      <c r="AM12" t="n">
        <v>7</v>
      </c>
      <c r="AN12" t="n">
        <v>1</v>
      </c>
      <c r="AO12" t="n">
        <v>11</v>
      </c>
      <c r="AP12" t="n">
        <v>10</v>
      </c>
      <c r="AQ12" t="n">
        <v>12</v>
      </c>
      <c r="AR12" t="n">
        <v>1</v>
      </c>
      <c r="AS12" t="n">
        <v>65</v>
      </c>
      <c r="AT12" t="n">
        <v>0</v>
      </c>
      <c r="AU12" t="n">
        <v>0.001</v>
      </c>
      <c r="AV12" t="n">
        <v>8</v>
      </c>
      <c r="BD12" t="n">
        <v>11</v>
      </c>
      <c r="BE12" t="inlineStr">
        <is>
          <t>Shimai-shigoto</t>
        </is>
      </c>
      <c r="BF12" t="n">
        <v>36</v>
      </c>
      <c r="BG12" t="inlineStr">
        <is>
          <t>38-42°C</t>
        </is>
      </c>
      <c r="BH12" t="inlineStr">
        <is>
          <t>Remove lids</t>
        </is>
      </c>
      <c r="BJ12" t="n">
        <v>11</v>
      </c>
      <c r="BK12" t="inlineStr">
        <is>
          <t>Dekoji (harvest)</t>
        </is>
      </c>
      <c r="BL12" t="n">
        <v>44</v>
      </c>
      <c r="BM12" t="inlineStr">
        <is>
          <t>Cool</t>
        </is>
      </c>
      <c r="BN12" t="inlineStr">
        <is>
          <t>15-17% moisture</t>
        </is>
      </c>
      <c r="BO12" t="inlineStr">
        <is>
          <t>Dry × 1.15</t>
        </is>
      </c>
      <c r="BP12" t="n">
        <v>11</v>
      </c>
      <c r="BQ12" t="inlineStr">
        <is>
          <t>Dekoji (harvest)</t>
        </is>
      </c>
      <c r="BR12" t="n">
        <v>50</v>
      </c>
      <c r="BS12" t="inlineStr">
        <is>
          <t>Cool</t>
        </is>
      </c>
      <c r="BT12" t="inlineStr">
        <is>
          <t>15-17% moisture</t>
        </is>
      </c>
      <c r="BU12" t="inlineStr">
        <is>
          <t>Dry × 1.15</t>
        </is>
      </c>
      <c r="CO12" t="inlineStr">
        <is>
          <t>Moto ready</t>
        </is>
      </c>
      <c r="CP12" t="inlineStr">
        <is>
          <t>Day 35</t>
        </is>
      </c>
      <c r="CQ12" t="inlineStr">
        <is>
          <t>12-15°C</t>
        </is>
      </c>
      <c r="CR12" t="inlineStr">
        <is>
          <t>&lt;3.3</t>
        </is>
      </c>
      <c r="CS12" t="inlineStr">
        <is>
          <t>Strong yeast for Soe</t>
        </is>
      </c>
      <c r="DD12" t="inlineStr">
        <is>
          <t>1878 Nagareyama</t>
        </is>
      </c>
      <c r="DE12" t="n">
        <v>93</v>
      </c>
      <c r="DF12" t="n">
        <v>94</v>
      </c>
      <c r="DG12" t="n">
        <v>95</v>
      </c>
      <c r="DH12" t="n">
        <v>96</v>
      </c>
      <c r="DI12" t="n">
        <v>97</v>
      </c>
      <c r="EG12" t="inlineStr">
        <is>
          <t>Ji (ground)</t>
        </is>
      </c>
      <c r="EH12" t="inlineStr">
        <is>
          <t>Day 19-22</t>
        </is>
      </c>
      <c r="EI12" t="inlineStr">
        <is>
          <t>8-10°C</t>
        </is>
      </c>
      <c r="EJ12" t="inlineStr">
        <is>
          <t>Calm</t>
        </is>
      </c>
      <c r="EK12" t="inlineStr">
        <is>
          <t>Surface calm</t>
        </is>
      </c>
      <c r="EM12" t="inlineStr">
        <is>
          <t>Ji (ground)</t>
        </is>
      </c>
      <c r="EN12" t="inlineStr">
        <is>
          <t>Day 27-32</t>
        </is>
      </c>
      <c r="EO12" t="inlineStr">
        <is>
          <t>6-8°C</t>
        </is>
      </c>
      <c r="EP12" t="inlineStr">
        <is>
          <t>Calm</t>
        </is>
      </c>
      <c r="EQ12" t="inlineStr">
        <is>
          <t>Long maturation</t>
        </is>
      </c>
      <c r="ES12" t="inlineStr">
        <is>
          <t>Ji (ground)</t>
        </is>
      </c>
      <c r="ET12" t="inlineStr">
        <is>
          <t>Day 36-38</t>
        </is>
      </c>
      <c r="EU12" t="inlineStr">
        <is>
          <t>5-6°C</t>
        </is>
      </c>
      <c r="EV12" t="inlineStr">
        <is>
          <t>Calm</t>
        </is>
      </c>
      <c r="EW12" t="inlineStr">
        <is>
          <t>Extended rest</t>
        </is>
      </c>
      <c r="EX12" t="n">
        <v>80</v>
      </c>
      <c r="EY12" t="inlineStr">
        <is>
          <t>Ji (ground)</t>
        </is>
      </c>
      <c r="EZ12" t="inlineStr">
        <is>
          <t>Day 17-18</t>
        </is>
      </c>
      <c r="FA12" t="inlineStr">
        <is>
          <t>10-12°C</t>
        </is>
      </c>
      <c r="FB12" t="inlineStr">
        <is>
          <t>Calm</t>
        </is>
      </c>
      <c r="FC12" t="inlineStr">
        <is>
          <t>Short rest</t>
        </is>
      </c>
    </row>
    <row r="13" ht="18" customHeight="1">
      <c r="A13" s="57" t="inlineStr">
        <is>
          <t>Experimental</t>
        </is>
      </c>
      <c r="B13" s="136" t="inlineStr">
        <is>
          <t>Akita Konno KM Kimoto (Yellow)</t>
        </is>
      </c>
      <c r="C13" s="38" t="inlineStr">
        <is>
          <t>Yellow</t>
        </is>
      </c>
      <c r="D13" s="38" t="n"/>
      <c r="E13" s="38" t="n"/>
      <c r="F13" s="38" t="n"/>
      <c r="G13" s="38" t="n"/>
      <c r="H13" s="38" t="n"/>
      <c r="I13" s="38" t="n"/>
      <c r="J13" s="38" t="n"/>
      <c r="K13" s="136" t="inlineStr">
        <is>
          <t>150L tank</t>
        </is>
      </c>
      <c r="L13" s="136" t="n">
        <v>150</v>
      </c>
      <c r="M13" s="136" t="inlineStr">
        <is>
          <t>Akitasakekomachi</t>
        </is>
      </c>
      <c r="N13" s="136" t="n"/>
      <c r="P13" s="125" t="inlineStr">
        <is>
          <t>Akitasakekomachi</t>
        </is>
      </c>
      <c r="Q13" s="125" t="n">
        <v>0.43</v>
      </c>
      <c r="R13" s="125" t="n">
        <v>0.21</v>
      </c>
      <c r="S13" s="125" t="n">
        <v>2.05</v>
      </c>
      <c r="T13" s="125" t="n">
        <v>7.3</v>
      </c>
      <c r="U13" s="125" t="inlineStr">
        <is>
          <t>Akita specialty - balanced, smooth</t>
        </is>
      </c>
      <c r="V13" s="125" t="n">
        <v>0</v>
      </c>
      <c r="W13" s="125" t="n">
        <v>0</v>
      </c>
      <c r="X13" s="125" t="n">
        <v>0</v>
      </c>
      <c r="Y13" s="125" t="n">
        <v>100</v>
      </c>
      <c r="AK13" t="inlineStr">
        <is>
          <t>USA: Denver CO</t>
        </is>
      </c>
      <c r="AL13" t="n">
        <v>23</v>
      </c>
      <c r="AM13" t="n">
        <v>8</v>
      </c>
      <c r="AN13" t="n">
        <v>1</v>
      </c>
      <c r="AO13" t="n">
        <v>21</v>
      </c>
      <c r="AP13" t="n">
        <v>15</v>
      </c>
      <c r="AQ13" t="n">
        <v>20</v>
      </c>
      <c r="AR13" t="n">
        <v>2</v>
      </c>
      <c r="AS13" t="n">
        <v>95</v>
      </c>
      <c r="AT13" t="n">
        <v>0</v>
      </c>
      <c r="AU13" t="n">
        <v>0.003</v>
      </c>
      <c r="AV13" t="n">
        <v>8.800000000000001</v>
      </c>
      <c r="BD13" t="n">
        <v>12</v>
      </c>
      <c r="BE13" t="inlineStr">
        <is>
          <t>Dekoji (harvest)</t>
        </is>
      </c>
      <c r="BF13" t="n">
        <v>48</v>
      </c>
      <c r="BG13" t="inlineStr">
        <is>
          <t>Cool</t>
        </is>
      </c>
      <c r="BH13" t="inlineStr">
        <is>
          <t>15-17% moisture</t>
        </is>
      </c>
      <c r="BI13" t="inlineStr">
        <is>
          <t>Dry × 1.15</t>
        </is>
      </c>
      <c r="DD13" t="inlineStr">
        <is>
          <t>Doburoku (No Moto)</t>
        </is>
      </c>
      <c r="DE13" t="n">
        <v>119</v>
      </c>
      <c r="DF13" t="n">
        <v>120</v>
      </c>
      <c r="DG13" t="n">
        <v>121</v>
      </c>
      <c r="DH13" t="n">
        <v>122</v>
      </c>
      <c r="DI13" t="n">
        <v>123</v>
      </c>
      <c r="EG13" t="inlineStr">
        <is>
          <t>Jōsō ready</t>
        </is>
      </c>
      <c r="EH13" t="inlineStr">
        <is>
          <t>Day 23-25</t>
        </is>
      </c>
      <c r="EI13" t="inlineStr">
        <is>
          <t>8°C</t>
        </is>
      </c>
      <c r="EJ13" t="inlineStr">
        <is>
          <t>-</t>
        </is>
      </c>
      <c r="EK13" t="inlineStr">
        <is>
          <t>Ready to press</t>
        </is>
      </c>
      <c r="EM13" t="inlineStr">
        <is>
          <t>Jōsō ready</t>
        </is>
      </c>
      <c r="EN13" t="inlineStr">
        <is>
          <t>Day 33-35</t>
        </is>
      </c>
      <c r="EO13" t="inlineStr">
        <is>
          <t>6°C</t>
        </is>
      </c>
      <c r="EP13" t="inlineStr">
        <is>
          <t>-</t>
        </is>
      </c>
      <c r="EQ13" t="inlineStr">
        <is>
          <t>Ready to press</t>
        </is>
      </c>
      <c r="ES13" t="inlineStr">
        <is>
          <t>Jōsō ready</t>
        </is>
      </c>
      <c r="ET13" t="inlineStr">
        <is>
          <t>Day 39-40</t>
        </is>
      </c>
      <c r="EU13" t="inlineStr">
        <is>
          <t>5°C</t>
        </is>
      </c>
      <c r="EV13" t="inlineStr">
        <is>
          <t>-</t>
        </is>
      </c>
      <c r="EW13" t="inlineStr">
        <is>
          <t>Ready to press</t>
        </is>
      </c>
      <c r="EX13" t="n">
        <v>85</v>
      </c>
      <c r="EY13" t="inlineStr">
        <is>
          <t>Jōsō ready</t>
        </is>
      </c>
      <c r="EZ13" t="inlineStr">
        <is>
          <t>Day 19-20</t>
        </is>
      </c>
      <c r="FA13" t="inlineStr">
        <is>
          <t>10°C</t>
        </is>
      </c>
      <c r="FB13" t="inlineStr">
        <is>
          <t>-</t>
        </is>
      </c>
      <c r="FC13" t="inlineStr">
        <is>
          <t>Ready to press</t>
        </is>
      </c>
    </row>
    <row r="14" ht="18" customHeight="1">
      <c r="A14" s="120" t="n"/>
      <c r="B14" s="122" t="inlineStr">
        <is>
          <t>Hishiroku Ginjo (Yellow)</t>
        </is>
      </c>
      <c r="C14" s="38" t="inlineStr">
        <is>
          <t>Yellow</t>
        </is>
      </c>
      <c r="D14" s="38" t="n"/>
      <c r="E14" s="38" t="n"/>
      <c r="F14" s="38" t="n"/>
      <c r="G14" s="38" t="n"/>
      <c r="H14" s="38" t="n"/>
      <c r="I14" s="38" t="n"/>
      <c r="J14" s="38" t="n"/>
      <c r="K14" s="122" t="inlineStr">
        <is>
          <t>200L tank</t>
        </is>
      </c>
      <c r="L14" s="122" t="n">
        <v>200</v>
      </c>
      <c r="M14" s="122" t="inlineStr">
        <is>
          <t>Ipponjime</t>
        </is>
      </c>
      <c r="N14" s="122" t="n"/>
      <c r="P14" s="125" t="inlineStr">
        <is>
          <t>Ipponjime</t>
        </is>
      </c>
      <c r="Q14" s="125" t="n">
        <v>0.42</v>
      </c>
      <c r="R14" s="125" t="n">
        <v>0.21</v>
      </c>
      <c r="S14" s="125" t="n">
        <v>2</v>
      </c>
      <c r="T14" s="125" t="n">
        <v>7.4</v>
      </c>
      <c r="U14" s="125" t="inlineStr">
        <is>
          <t>Niigata variety - clean, dry finish</t>
        </is>
      </c>
      <c r="V14" s="125" t="n">
        <v>0</v>
      </c>
      <c r="W14" s="125" t="n">
        <v>0</v>
      </c>
      <c r="X14" s="125" t="n">
        <v>0</v>
      </c>
      <c r="Y14" s="125" t="n">
        <v>100</v>
      </c>
      <c r="AK14" t="inlineStr">
        <is>
          <t>USA: New York NY</t>
        </is>
      </c>
      <c r="AL14" t="n">
        <v>12</v>
      </c>
      <c r="AM14" t="n">
        <v>6</v>
      </c>
      <c r="AN14" t="n">
        <v>1</v>
      </c>
      <c r="AO14" t="n">
        <v>6</v>
      </c>
      <c r="AP14" t="n">
        <v>8</v>
      </c>
      <c r="AQ14" t="n">
        <v>10</v>
      </c>
      <c r="AR14" t="n">
        <v>1</v>
      </c>
      <c r="AS14" t="n">
        <v>55</v>
      </c>
      <c r="AT14" t="n">
        <v>0.03</v>
      </c>
      <c r="AU14" t="n">
        <v>0.019</v>
      </c>
      <c r="AV14" t="n">
        <v>7.3</v>
      </c>
      <c r="DD14" t="inlineStr">
        <is>
          <t>Direct Pitch</t>
        </is>
      </c>
      <c r="DE14" t="n">
        <v>124</v>
      </c>
      <c r="DF14" t="n">
        <v>125</v>
      </c>
      <c r="DG14" t="n">
        <v>126</v>
      </c>
      <c r="DH14" t="n">
        <v>127</v>
      </c>
      <c r="DI14" t="n">
        <v>128</v>
      </c>
      <c r="EX14" t="n">
        <v>90</v>
      </c>
    </row>
    <row r="15" ht="18" customHeight="1">
      <c r="A15" s="57" t="n"/>
      <c r="B15" s="136" t="inlineStr">
        <is>
          <t>Hishiroku Standard (Yellow)</t>
        </is>
      </c>
      <c r="C15" s="38" t="inlineStr">
        <is>
          <t>Yellow</t>
        </is>
      </c>
      <c r="D15" s="38" t="n"/>
      <c r="E15" s="38" t="n"/>
      <c r="F15" s="38" t="n"/>
      <c r="G15" s="38" t="n"/>
      <c r="H15" s="38" t="n"/>
      <c r="I15" s="38" t="n"/>
      <c r="J15" s="38" t="n"/>
      <c r="K15" s="136" t="inlineStr">
        <is>
          <t>225L barrique</t>
        </is>
      </c>
      <c r="L15" s="136" t="n">
        <v>225</v>
      </c>
      <c r="M15" s="136" t="inlineStr">
        <is>
          <t>Yumenishiki</t>
        </is>
      </c>
      <c r="N15" s="136" t="n"/>
      <c r="P15" s="125" t="inlineStr">
        <is>
          <t>Yumenishiki</t>
        </is>
      </c>
      <c r="Q15" s="125" t="n">
        <v>0.43</v>
      </c>
      <c r="R15" s="125" t="n">
        <v>0.2</v>
      </c>
      <c r="S15" s="125" t="n">
        <v>2.15</v>
      </c>
      <c r="T15" s="125" t="n">
        <v>7</v>
      </c>
      <c r="U15" s="125" t="inlineStr">
        <is>
          <t>Modern cultivar - versatile</t>
        </is>
      </c>
      <c r="V15" s="125" t="n">
        <v>0</v>
      </c>
      <c r="W15" s="125" t="n">
        <v>393.7</v>
      </c>
      <c r="X15" s="125" t="n">
        <v>0</v>
      </c>
      <c r="Y15" s="125" t="n">
        <v>100</v>
      </c>
      <c r="AK15" t="inlineStr">
        <is>
          <t>USA: Boston MA</t>
        </is>
      </c>
      <c r="AL15" t="n">
        <v>4</v>
      </c>
      <c r="AM15" t="n">
        <v>1</v>
      </c>
      <c r="AN15" t="n">
        <v>1</v>
      </c>
      <c r="AO15" t="n">
        <v>2</v>
      </c>
      <c r="AP15" t="n">
        <v>3</v>
      </c>
      <c r="AQ15" t="n">
        <v>4</v>
      </c>
      <c r="AR15" t="n">
        <v>0</v>
      </c>
      <c r="AS15" t="n">
        <v>15</v>
      </c>
      <c r="AT15" t="n">
        <v>0</v>
      </c>
      <c r="AU15" t="n">
        <v>0</v>
      </c>
      <c r="AV15" t="n">
        <v>9.5</v>
      </c>
      <c r="EX15" t="n">
        <v>92</v>
      </c>
    </row>
    <row r="16" ht="18" customHeight="1">
      <c r="A16" s="120" t="n"/>
      <c r="B16" s="122" t="inlineStr">
        <is>
          <t>Hishiroku Amazake (Yellow)</t>
        </is>
      </c>
      <c r="C16" s="38" t="inlineStr">
        <is>
          <t>Yellow</t>
        </is>
      </c>
      <c r="D16" s="38" t="n"/>
      <c r="E16" s="38" t="n"/>
      <c r="F16" s="38" t="n"/>
      <c r="G16" s="38" t="n"/>
      <c r="H16" s="38" t="n"/>
      <c r="I16" s="38" t="n"/>
      <c r="J16" s="38" t="n"/>
      <c r="K16" s="122" t="inlineStr">
        <is>
          <t>300L foudre</t>
        </is>
      </c>
      <c r="L16" s="122" t="n">
        <v>300</v>
      </c>
      <c r="M16" s="122" t="inlineStr">
        <is>
          <t>Dewanosato</t>
        </is>
      </c>
      <c r="N16" s="122" t="inlineStr">
        <is>
          <t>Hitomebore</t>
        </is>
      </c>
      <c r="P16" s="125" t="inlineStr">
        <is>
          <t>Dewanosato</t>
        </is>
      </c>
      <c r="Q16" s="125" t="n">
        <v>0.38</v>
      </c>
      <c r="R16" s="125" t="n">
        <v>0.22</v>
      </c>
      <c r="S16" s="125" t="n">
        <v>1.73</v>
      </c>
      <c r="T16" s="125" t="n">
        <v>6.3</v>
      </c>
      <c r="U16" s="125" t="inlineStr">
        <is>
          <t>Low digestibility despite low protein</t>
        </is>
      </c>
      <c r="V16" s="125" t="n">
        <v>697.6</v>
      </c>
      <c r="W16" s="125" t="n">
        <v>0</v>
      </c>
      <c r="X16" s="125" t="n">
        <v>0</v>
      </c>
      <c r="Y16" s="125" t="n">
        <v>100</v>
      </c>
      <c r="AK16" t="inlineStr">
        <is>
          <t>USA: Chicago IL</t>
        </is>
      </c>
      <c r="AL16" t="n">
        <v>33</v>
      </c>
      <c r="AM16" t="n">
        <v>11</v>
      </c>
      <c r="AN16" t="n">
        <v>1</v>
      </c>
      <c r="AO16" t="n">
        <v>4</v>
      </c>
      <c r="AP16" t="n">
        <v>8</v>
      </c>
      <c r="AQ16" t="n">
        <v>25</v>
      </c>
      <c r="AR16" t="n">
        <v>2</v>
      </c>
      <c r="AS16" t="n">
        <v>130</v>
      </c>
      <c r="AT16" t="n">
        <v>0</v>
      </c>
      <c r="AU16" t="n">
        <v>0</v>
      </c>
      <c r="AV16" t="n">
        <v>7.8</v>
      </c>
      <c r="EX16" t="n">
        <v>95</v>
      </c>
    </row>
    <row r="17" ht="18" customHeight="1">
      <c r="A17" s="57" t="n"/>
      <c r="B17" s="136" t="inlineStr">
        <is>
          <t>Bio'c Byakuya (White)</t>
        </is>
      </c>
      <c r="C17" s="38" t="inlineStr">
        <is>
          <t>White</t>
        </is>
      </c>
      <c r="D17" s="38" t="n"/>
      <c r="E17" s="38" t="n"/>
      <c r="F17" s="38" t="n"/>
      <c r="G17" s="38" t="n"/>
      <c r="H17" s="38" t="n"/>
      <c r="I17" s="38" t="n"/>
      <c r="J17" s="38" t="n"/>
      <c r="K17" s="136" t="inlineStr">
        <is>
          <t>500L tank</t>
        </is>
      </c>
      <c r="L17" s="136" t="n">
        <v>500</v>
      </c>
      <c r="M17" s="136" t="inlineStr">
        <is>
          <t>Yumenokaori</t>
        </is>
      </c>
      <c r="N17" s="136" t="inlineStr">
        <is>
          <t>M-401</t>
        </is>
      </c>
      <c r="P17" s="125" t="inlineStr">
        <is>
          <t>Yumenokaori</t>
        </is>
      </c>
      <c r="Q17" s="125" t="n">
        <v>0.43</v>
      </c>
      <c r="R17" s="125" t="n">
        <v>0.21</v>
      </c>
      <c r="S17" s="125" t="n">
        <v>2.05</v>
      </c>
      <c r="T17" s="125" t="n">
        <v>8</v>
      </c>
      <c r="U17" s="125" t="inlineStr">
        <is>
          <t>Higher protein variety</t>
        </is>
      </c>
      <c r="V17" s="125" t="n">
        <v>545.3</v>
      </c>
      <c r="W17" s="125" t="n">
        <v>0</v>
      </c>
      <c r="X17" s="125" t="n">
        <v>0</v>
      </c>
      <c r="Y17" s="125" t="n">
        <v>100</v>
      </c>
      <c r="AK17" t="inlineStr">
        <is>
          <t>USA: Los Angeles CA</t>
        </is>
      </c>
      <c r="AL17" t="n">
        <v>35</v>
      </c>
      <c r="AM17" t="n">
        <v>17</v>
      </c>
      <c r="AN17" t="n">
        <v>3</v>
      </c>
      <c r="AO17" t="n">
        <v>92</v>
      </c>
      <c r="AP17" t="n">
        <v>80</v>
      </c>
      <c r="AQ17" t="n">
        <v>50</v>
      </c>
      <c r="AR17" t="n">
        <v>2</v>
      </c>
      <c r="AS17" t="n">
        <v>165</v>
      </c>
      <c r="AT17" t="n">
        <v>0.01</v>
      </c>
      <c r="AU17" t="n">
        <v>0.01</v>
      </c>
      <c r="AV17" t="n">
        <v>8.199999999999999</v>
      </c>
      <c r="EX17" t="n">
        <v>100</v>
      </c>
    </row>
    <row r="18" ht="18" customHeight="1">
      <c r="A18" s="120" t="n"/>
      <c r="B18" s="122" t="inlineStr">
        <is>
          <t>Bio'c Konayuki (White)</t>
        </is>
      </c>
      <c r="C18" s="38" t="inlineStr">
        <is>
          <t>White</t>
        </is>
      </c>
      <c r="D18" s="38" t="n"/>
      <c r="E18" s="38" t="n"/>
      <c r="F18" s="38" t="n"/>
      <c r="G18" s="38" t="n"/>
      <c r="H18" s="38" t="n"/>
      <c r="I18" s="38" t="n"/>
      <c r="J18" s="38" t="n"/>
      <c r="K18" s="122" t="inlineStr">
        <is>
          <t>1000L IBC</t>
        </is>
      </c>
      <c r="L18" s="122" t="n">
        <v>1000</v>
      </c>
      <c r="M18" s="122" t="inlineStr">
        <is>
          <t>Toyonishiki</t>
        </is>
      </c>
      <c r="N18" s="122" t="inlineStr">
        <is>
          <t>M-104</t>
        </is>
      </c>
      <c r="P18" s="125" t="inlineStr">
        <is>
          <t>Toyonishiki</t>
        </is>
      </c>
      <c r="Q18" s="125" t="n">
        <v>0.42</v>
      </c>
      <c r="R18" s="125" t="n">
        <v>0.21</v>
      </c>
      <c r="S18" s="125" t="n">
        <v>2</v>
      </c>
      <c r="T18" s="125" t="n">
        <v>7.2</v>
      </c>
      <c r="U18" s="125" t="inlineStr">
        <is>
          <t>Classic Niigata - tanrei karakuchi</t>
        </is>
      </c>
      <c r="V18" s="125" t="n">
        <v>719.3</v>
      </c>
      <c r="W18" s="125" t="n">
        <v>0</v>
      </c>
      <c r="X18" s="125" t="n">
        <v>211.9</v>
      </c>
      <c r="Y18" s="125" t="n">
        <v>100</v>
      </c>
      <c r="AK18" t="inlineStr">
        <is>
          <t>USA: Austin TX</t>
        </is>
      </c>
      <c r="AL18" t="n">
        <v>26</v>
      </c>
      <c r="AM18" t="n">
        <v>17</v>
      </c>
      <c r="AN18" t="n">
        <v>4</v>
      </c>
      <c r="AO18" t="n">
        <v>33</v>
      </c>
      <c r="AP18" t="n">
        <v>30</v>
      </c>
      <c r="AQ18" t="n">
        <v>25</v>
      </c>
      <c r="AR18" t="n">
        <v>2</v>
      </c>
      <c r="AS18" t="n">
        <v>135</v>
      </c>
      <c r="AT18" t="n">
        <v>0.01</v>
      </c>
      <c r="AU18" t="n">
        <v>0.005</v>
      </c>
      <c r="AV18" t="n">
        <v>8.800000000000001</v>
      </c>
    </row>
    <row r="19" ht="18" customHeight="1">
      <c r="A19" s="57" t="n"/>
      <c r="B19" s="136" t="inlineStr">
        <is>
          <t>Bio'c Kuro-koji (Black)</t>
        </is>
      </c>
      <c r="C19" s="38" t="inlineStr">
        <is>
          <t>Black</t>
        </is>
      </c>
      <c r="D19" s="38" t="n"/>
      <c r="E19" s="38" t="n"/>
      <c r="F19" s="38" t="n"/>
      <c r="G19" s="38" t="n"/>
      <c r="H19" s="38" t="n"/>
      <c r="I19" s="38" t="n"/>
      <c r="J19" s="38" t="n"/>
      <c r="K19" s="136" t="inlineStr">
        <is>
          <t>Custom</t>
        </is>
      </c>
      <c r="L19" s="136" t="n">
        <v>0</v>
      </c>
      <c r="M19" s="136" t="inlineStr">
        <is>
          <t>Wakamizu</t>
        </is>
      </c>
      <c r="N19" s="136" t="inlineStr">
        <is>
          <t>Calhikari</t>
        </is>
      </c>
      <c r="P19" t="inlineStr">
        <is>
          <t>Wakamizu</t>
        </is>
      </c>
      <c r="Q19" t="n">
        <v>0.43</v>
      </c>
      <c r="R19" t="n">
        <v>0.2</v>
      </c>
      <c r="S19" t="n">
        <v>2.15</v>
      </c>
      <c r="T19" t="n">
        <v>7.1</v>
      </c>
      <c r="U19" t="inlineStr">
        <is>
          <t>Emerging variety</t>
        </is>
      </c>
      <c r="AK19" t="inlineStr">
        <is>
          <t>USA: Minneapolis MN</t>
        </is>
      </c>
      <c r="AL19" t="n">
        <v>28</v>
      </c>
      <c r="AM19" t="n">
        <v>9</v>
      </c>
      <c r="AN19" t="n">
        <v>3</v>
      </c>
      <c r="AO19" t="n">
        <v>7</v>
      </c>
      <c r="AP19" t="n">
        <v>10</v>
      </c>
      <c r="AQ19" t="n">
        <v>20</v>
      </c>
      <c r="AR19" t="n">
        <v>2</v>
      </c>
      <c r="AS19" t="n">
        <v>110</v>
      </c>
      <c r="AT19" t="n">
        <v>0</v>
      </c>
      <c r="AU19" t="n">
        <v>0.001</v>
      </c>
      <c r="AV19" t="n">
        <v>9</v>
      </c>
    </row>
    <row r="20" ht="18" customHeight="1">
      <c r="A20" s="120" t="n"/>
      <c r="B20" s="122" t="inlineStr">
        <is>
          <t>Bio'c Yuki-koji (Yellow)</t>
        </is>
      </c>
      <c r="C20" s="38" t="inlineStr">
        <is>
          <t>Yellow</t>
        </is>
      </c>
      <c r="D20" s="38" t="n"/>
      <c r="E20" s="38" t="n"/>
      <c r="F20" s="38" t="n"/>
      <c r="G20" s="38" t="n"/>
      <c r="H20" s="38" t="n"/>
      <c r="I20" s="38" t="n"/>
      <c r="J20" s="38" t="n"/>
      <c r="K20" s="38" t="n"/>
      <c r="L20" s="38" t="n"/>
      <c r="M20" s="122" t="inlineStr">
        <is>
          <t>Shinriki</t>
        </is>
      </c>
      <c r="N20" s="122" t="inlineStr">
        <is>
          <t>Caloro</t>
        </is>
      </c>
      <c r="P20" s="107" t="inlineStr">
        <is>
          <t>Shinriki</t>
        </is>
      </c>
      <c r="Q20" t="n">
        <v>0.44</v>
      </c>
      <c r="R20" t="n">
        <v>0.2</v>
      </c>
      <c r="S20" t="n">
        <v>2.2</v>
      </c>
      <c r="T20" t="n">
        <v>7</v>
      </c>
      <c r="U20" t="inlineStr">
        <is>
          <t>Heritage (pre-war) - full body</t>
        </is>
      </c>
      <c r="AK20" t="inlineStr">
        <is>
          <t>USA: Atlanta GA</t>
        </is>
      </c>
      <c r="AL20" t="n">
        <v>5</v>
      </c>
      <c r="AM20" t="n">
        <v>1</v>
      </c>
      <c r="AN20" t="n">
        <v>1</v>
      </c>
      <c r="AO20" t="n">
        <v>2</v>
      </c>
      <c r="AP20" t="n">
        <v>4</v>
      </c>
      <c r="AQ20" t="n">
        <v>5</v>
      </c>
      <c r="AR20" t="n">
        <v>0</v>
      </c>
      <c r="AS20" t="n">
        <v>20</v>
      </c>
      <c r="AT20" t="n">
        <v>0</v>
      </c>
      <c r="AU20" t="n">
        <v>0.0002</v>
      </c>
      <c r="AV20" t="n">
        <v>7.5</v>
      </c>
    </row>
    <row r="21" ht="18" customHeight="1">
      <c r="A21" s="57" t="n"/>
      <c r="B21" s="136" t="inlineStr">
        <is>
          <t>Marufuku Standard (Yellow)</t>
        </is>
      </c>
      <c r="C21" s="38" t="inlineStr">
        <is>
          <t>Yellow</t>
        </is>
      </c>
      <c r="D21" s="38" t="n"/>
      <c r="E21" s="38" t="n"/>
      <c r="F21" s="38" t="n"/>
      <c r="G21" s="38" t="n"/>
      <c r="H21" s="38" t="n"/>
      <c r="I21" s="38" t="n"/>
      <c r="J21" s="38" t="n"/>
      <c r="K21" s="38" t="n"/>
      <c r="L21" s="38" t="n"/>
      <c r="M21" s="136" t="inlineStr">
        <is>
          <t>Koshitanrei</t>
        </is>
      </c>
      <c r="N21" s="136" t="inlineStr">
        <is>
          <t>Blue Rose</t>
        </is>
      </c>
      <c r="P21" s="124" t="inlineStr">
        <is>
          <t>Koshitanrei</t>
        </is>
      </c>
      <c r="Q21" s="124" t="n">
        <v>0.44</v>
      </c>
      <c r="R21" s="124" t="n">
        <v>0.2</v>
      </c>
      <c r="S21" s="124" t="n">
        <v>2.2</v>
      </c>
      <c r="T21" t="n">
        <v>6.9</v>
      </c>
      <c r="U21" t="inlineStr">
        <is>
          <t>Niigata premium - Yamada x Gohyaku cross</t>
        </is>
      </c>
      <c r="AK21" t="inlineStr">
        <is>
          <t>USA: Honolulu HI</t>
        </is>
      </c>
      <c r="AL21" t="n">
        <v>6</v>
      </c>
      <c r="AM21" t="n">
        <v>10</v>
      </c>
      <c r="AN21" t="n">
        <v>3</v>
      </c>
      <c r="AO21" t="n">
        <v>44</v>
      </c>
      <c r="AP21" t="n">
        <v>30</v>
      </c>
      <c r="AQ21" t="n">
        <v>15</v>
      </c>
      <c r="AR21" t="n">
        <v>1</v>
      </c>
      <c r="AS21" t="n">
        <v>55</v>
      </c>
      <c r="AT21" t="n">
        <v>0.01</v>
      </c>
      <c r="AU21" t="n">
        <v>0.01</v>
      </c>
      <c r="AV21" t="n">
        <v>7.8</v>
      </c>
    </row>
    <row r="22" ht="15" customHeight="1">
      <c r="A22" s="120" t="n"/>
      <c r="B22" s="122" t="inlineStr">
        <is>
          <t>Marufuku White Citric (White)</t>
        </is>
      </c>
      <c r="C22" s="38" t="inlineStr">
        <is>
          <t>White</t>
        </is>
      </c>
      <c r="D22" s="38" t="n"/>
      <c r="E22" s="38" t="n"/>
      <c r="F22" s="38" t="n"/>
      <c r="G22" s="38" t="n"/>
      <c r="H22" s="38" t="n"/>
      <c r="I22" s="38" t="n"/>
      <c r="J22" s="38" t="n"/>
      <c r="K22" s="38" t="n"/>
      <c r="L22" s="38" t="n"/>
      <c r="M22" s="122" t="inlineStr">
        <is>
          <t>Yukinosei</t>
        </is>
      </c>
      <c r="N22" s="122" t="inlineStr">
        <is>
          <t>Generic medium-grain</t>
        </is>
      </c>
      <c r="P22" s="125" t="inlineStr">
        <is>
          <t>Yukinosei</t>
        </is>
      </c>
      <c r="Q22" s="125" t="n">
        <v>0.43</v>
      </c>
      <c r="R22" s="125" t="n">
        <v>0.21</v>
      </c>
      <c r="S22" s="125" t="n">
        <v>2.05</v>
      </c>
      <c r="T22" t="n">
        <v>7.2</v>
      </c>
      <c r="U22" t="inlineStr">
        <is>
          <t>Niigata snow country variety</t>
        </is>
      </c>
      <c r="AK22" t="inlineStr">
        <is>
          <t>RO/Distilled</t>
        </is>
      </c>
      <c r="AL22" t="n">
        <v>0</v>
      </c>
      <c r="AM22" t="n">
        <v>0</v>
      </c>
      <c r="AN22" t="n">
        <v>0</v>
      </c>
      <c r="AO22" t="n">
        <v>0</v>
      </c>
      <c r="AP22" t="n">
        <v>0</v>
      </c>
      <c r="AQ22" t="n">
        <v>0</v>
      </c>
      <c r="AR22" t="n">
        <v>0</v>
      </c>
      <c r="AS22" t="n">
        <v>0</v>
      </c>
      <c r="AT22" t="n">
        <v>0</v>
      </c>
      <c r="AU22" t="n">
        <v>0</v>
      </c>
      <c r="AV22" t="n">
        <v>6</v>
      </c>
    </row>
    <row r="23" ht="15" customHeight="1">
      <c r="B23" t="inlineStr">
        <is>
          <t>Marufuku Black Awamori (Black)</t>
        </is>
      </c>
      <c r="C23" t="inlineStr">
        <is>
          <t>Black</t>
        </is>
      </c>
      <c r="M23" t="inlineStr">
        <is>
          <t>Koshihikari</t>
        </is>
      </c>
      <c r="P23" s="125" t="inlineStr">
        <is>
          <t>Koshihikari</t>
        </is>
      </c>
      <c r="Q23" s="125" t="n">
        <v>0.42</v>
      </c>
      <c r="R23" s="125" t="n">
        <v>0.17</v>
      </c>
      <c r="S23" s="125" t="n">
        <v>2.47</v>
      </c>
      <c r="T23" t="n">
        <v>7</v>
      </c>
      <c r="U23" t="inlineStr">
        <is>
          <t>Japan's #1 table rice - low prolamin, clean</t>
        </is>
      </c>
      <c r="AK23" t="inlineStr">
        <is>
          <t>Well Water (Typical)</t>
        </is>
      </c>
      <c r="AL23" t="n">
        <v>45</v>
      </c>
      <c r="AM23" t="n">
        <v>15</v>
      </c>
      <c r="AN23" t="n">
        <v>5</v>
      </c>
      <c r="AO23" t="n">
        <v>25</v>
      </c>
      <c r="AP23" t="n">
        <v>30</v>
      </c>
      <c r="AQ23" t="n">
        <v>40</v>
      </c>
      <c r="AR23" t="n">
        <v>3</v>
      </c>
      <c r="AS23" t="n">
        <v>180</v>
      </c>
      <c r="AT23" t="n">
        <v>0.3</v>
      </c>
      <c r="AU23" t="n">
        <v>0.05</v>
      </c>
      <c r="AV23" t="n">
        <v>7.2</v>
      </c>
    </row>
    <row r="24" ht="15" customHeight="1">
      <c r="B24" t="inlineStr">
        <is>
          <t>Awamori Kuro-koji (Black)</t>
        </is>
      </c>
      <c r="C24" t="inlineStr">
        <is>
          <t>Black</t>
        </is>
      </c>
      <c r="M24" t="inlineStr">
        <is>
          <t>Nipponbare</t>
        </is>
      </c>
      <c r="P24" s="125" t="inlineStr">
        <is>
          <t>Nipponbare</t>
        </is>
      </c>
      <c r="Q24" s="125" t="n">
        <v>0.41</v>
      </c>
      <c r="R24" s="125" t="n">
        <v>0.21</v>
      </c>
      <c r="S24" s="125" t="n">
        <v>1.95</v>
      </c>
      <c r="T24" t="n">
        <v>7.8</v>
      </c>
      <c r="U24" t="inlineStr">
        <is>
          <t>Standard table rice - NRIB reference</t>
        </is>
      </c>
      <c r="AK24" t="inlineStr">
        <is>
          <t>Soft Municipal</t>
        </is>
      </c>
      <c r="AL24" t="n">
        <v>15</v>
      </c>
      <c r="AM24" t="n">
        <v>5</v>
      </c>
      <c r="AN24" t="n">
        <v>2</v>
      </c>
      <c r="AO24" t="n">
        <v>10</v>
      </c>
      <c r="AP24" t="n">
        <v>10</v>
      </c>
      <c r="AQ24" t="n">
        <v>12</v>
      </c>
      <c r="AR24" t="n">
        <v>1</v>
      </c>
      <c r="AS24" t="n">
        <v>60</v>
      </c>
      <c r="AT24" t="n">
        <v>0.02</v>
      </c>
      <c r="AU24" t="n">
        <v>0.01</v>
      </c>
      <c r="AV24" t="n">
        <v>7.2</v>
      </c>
    </row>
    <row r="25" ht="15" customHeight="1">
      <c r="B25" t="inlineStr">
        <is>
          <t>Awamori White Mutant (White)</t>
        </is>
      </c>
      <c r="C25" t="inlineStr">
        <is>
          <t>White</t>
        </is>
      </c>
      <c r="M25" t="inlineStr">
        <is>
          <t>Akitakomachi</t>
        </is>
      </c>
      <c r="P25" s="125" t="inlineStr">
        <is>
          <t>Akitakomachi</t>
        </is>
      </c>
      <c r="Q25" s="125" t="n">
        <v>0.42</v>
      </c>
      <c r="R25" s="125" t="n">
        <v>0.2</v>
      </c>
      <c r="S25" s="125" t="n">
        <v>2.1</v>
      </c>
      <c r="T25" t="n">
        <v>7.3</v>
      </c>
      <c r="U25" t="inlineStr">
        <is>
          <t>Premium table rice - slightly sticky</t>
        </is>
      </c>
      <c r="AK25" t="inlineStr">
        <is>
          <t>Medium Municipal</t>
        </is>
      </c>
      <c r="AL25" t="n">
        <v>35</v>
      </c>
      <c r="AM25" t="n">
        <v>10</v>
      </c>
      <c r="AN25" t="n">
        <v>3</v>
      </c>
      <c r="AO25" t="n">
        <v>20</v>
      </c>
      <c r="AP25" t="n">
        <v>20</v>
      </c>
      <c r="AQ25" t="n">
        <v>25</v>
      </c>
      <c r="AR25" t="n">
        <v>2</v>
      </c>
      <c r="AS25" t="n">
        <v>130</v>
      </c>
      <c r="AT25" t="n">
        <v>0.03</v>
      </c>
      <c r="AU25" t="n">
        <v>0.02</v>
      </c>
      <c r="AV25" t="n">
        <v>7.5</v>
      </c>
    </row>
    <row r="26" ht="15" customHeight="1">
      <c r="B26" t="inlineStr">
        <is>
          <t>Oriza Gin-1061 (Yellow)</t>
        </is>
      </c>
      <c r="C26" t="inlineStr">
        <is>
          <t>Yellow</t>
        </is>
      </c>
      <c r="M26" t="inlineStr">
        <is>
          <t>Hitomebore</t>
        </is>
      </c>
      <c r="P26" s="125" t="inlineStr">
        <is>
          <t>Hitomebore</t>
        </is>
      </c>
      <c r="Q26" s="125" t="n">
        <v>0.42</v>
      </c>
      <c r="R26" s="125" t="n">
        <v>0.2</v>
      </c>
      <c r="S26" s="125" t="n">
        <v>2.1</v>
      </c>
      <c r="T26" t="n">
        <v>7.2</v>
      </c>
      <c r="U26" t="inlineStr">
        <is>
          <t>Miyagi table rice - balanced</t>
        </is>
      </c>
      <c r="AK26" t="inlineStr">
        <is>
          <t>Hard Municipal</t>
        </is>
      </c>
      <c r="AL26" t="n">
        <v>60</v>
      </c>
      <c r="AM26" t="n">
        <v>20</v>
      </c>
      <c r="AN26" t="n">
        <v>5</v>
      </c>
      <c r="AO26" t="n">
        <v>35</v>
      </c>
      <c r="AP26" t="n">
        <v>35</v>
      </c>
      <c r="AQ26" t="n">
        <v>45</v>
      </c>
      <c r="AR26" t="n">
        <v>3</v>
      </c>
      <c r="AS26" t="n">
        <v>240</v>
      </c>
      <c r="AT26" t="n">
        <v>0.05</v>
      </c>
      <c r="AU26" t="n">
        <v>0.03</v>
      </c>
      <c r="AV26" t="n">
        <v>7.8</v>
      </c>
    </row>
    <row r="27" ht="15" customHeight="1">
      <c r="B27" t="inlineStr">
        <is>
          <t>Oriza No.36 (Yellow)</t>
        </is>
      </c>
      <c r="C27" t="inlineStr">
        <is>
          <t>Yellow</t>
        </is>
      </c>
      <c r="M27" t="inlineStr">
        <is>
          <t>Hinohikari</t>
        </is>
      </c>
      <c r="P27" t="inlineStr">
        <is>
          <t>Hinohikari</t>
        </is>
      </c>
      <c r="Q27" t="n">
        <v>0.41</v>
      </c>
      <c r="R27" t="n">
        <v>0.21</v>
      </c>
      <c r="S27" t="n">
        <v>1.95</v>
      </c>
      <c r="T27" t="n">
        <v>7.5</v>
      </c>
      <c r="U27" t="inlineStr">
        <is>
          <t>Western Japan table rice</t>
        </is>
      </c>
      <c r="AK27" t="inlineStr">
        <is>
          <t>USA: West Oakland CA</t>
        </is>
      </c>
      <c r="AL27" t="n">
        <v>10</v>
      </c>
      <c r="AM27" t="n">
        <v>3</v>
      </c>
      <c r="AN27" t="n">
        <v>2</v>
      </c>
      <c r="AO27" t="n">
        <v>8</v>
      </c>
      <c r="AP27" t="n">
        <v>10</v>
      </c>
      <c r="AQ27" t="n">
        <v>5</v>
      </c>
      <c r="AR27" t="n">
        <v>0</v>
      </c>
      <c r="AS27" t="n">
        <v>38</v>
      </c>
      <c r="AT27" t="n">
        <v>0.01</v>
      </c>
      <c r="AU27" t="n">
        <v>0.01</v>
      </c>
      <c r="AV27" t="n">
        <v>8.800000000000001</v>
      </c>
    </row>
    <row r="28" ht="15" customHeight="1">
      <c r="B28" t="inlineStr">
        <is>
          <t>Kura-tsuki Indigenous (Yellow)</t>
        </is>
      </c>
      <c r="C28" t="inlineStr">
        <is>
          <t>Yellow</t>
        </is>
      </c>
      <c r="M28" t="inlineStr">
        <is>
          <t>Sasanishiki</t>
        </is>
      </c>
      <c r="P28" s="107" t="inlineStr">
        <is>
          <t>Sasanishiki</t>
        </is>
      </c>
      <c r="Q28" t="n">
        <v>0.42</v>
      </c>
      <c r="R28" t="n">
        <v>0.19</v>
      </c>
      <c r="S28" t="n">
        <v>2.21</v>
      </c>
      <c r="T28" t="n">
        <v>7.1</v>
      </c>
      <c r="U28" t="inlineStr">
        <is>
          <t>Classic table rice - less sticky</t>
        </is>
      </c>
      <c r="AK28" t="inlineStr">
        <is>
          <t>USA: Little Rock AR</t>
        </is>
      </c>
      <c r="AL28" t="n">
        <v>8.4</v>
      </c>
      <c r="AM28" t="n">
        <v>0.9</v>
      </c>
      <c r="AN28" t="n">
        <v>0.6</v>
      </c>
      <c r="AO28" t="n">
        <v>1.5</v>
      </c>
      <c r="AP28" t="n">
        <v>3.7</v>
      </c>
      <c r="AQ28" t="n">
        <v>16</v>
      </c>
      <c r="AR28" t="n">
        <v>0.6</v>
      </c>
      <c r="AS28" t="n">
        <v>26</v>
      </c>
      <c r="AT28" t="n">
        <v>0.01</v>
      </c>
      <c r="AU28" t="n">
        <v>0.01</v>
      </c>
      <c r="AV28" t="n">
        <v>7.7</v>
      </c>
    </row>
    <row r="29" ht="15" customHeight="1">
      <c r="B29" t="inlineStr">
        <is>
          <t>GEM Cultures (Yellow)</t>
        </is>
      </c>
      <c r="C29" t="inlineStr">
        <is>
          <t>Yellow</t>
        </is>
      </c>
      <c r="M29" t="inlineStr">
        <is>
          <t>Nanatsuboshi</t>
        </is>
      </c>
      <c r="P29" t="inlineStr">
        <is>
          <t>Nanatsuboshi</t>
        </is>
      </c>
      <c r="Q29" t="n">
        <v>0.42</v>
      </c>
      <c r="R29" t="n">
        <v>0.2</v>
      </c>
      <c r="S29" t="n">
        <v>2.1</v>
      </c>
      <c r="T29" t="n">
        <v>7.3</v>
      </c>
      <c r="U29" t="inlineStr">
        <is>
          <t>Hokkaido table rice</t>
        </is>
      </c>
      <c r="AK29" t="inlineStr">
        <is>
          <t>USA: Lexington KY</t>
        </is>
      </c>
      <c r="AL29" t="n">
        <v>54</v>
      </c>
      <c r="AM29" t="n">
        <v>6</v>
      </c>
      <c r="AN29" t="n">
        <v>2</v>
      </c>
      <c r="AO29" t="n">
        <v>34</v>
      </c>
      <c r="AP29" t="n">
        <v>61</v>
      </c>
      <c r="AQ29" t="n">
        <v>28</v>
      </c>
      <c r="AR29" t="n">
        <v>1</v>
      </c>
      <c r="AS29" t="n">
        <v>182</v>
      </c>
      <c r="AT29" t="n">
        <v>0.01</v>
      </c>
      <c r="AU29" t="n">
        <v>0.01</v>
      </c>
      <c r="AV29" t="n">
        <v>7.6</v>
      </c>
    </row>
    <row r="30" ht="15" customHeight="1">
      <c r="B30" t="inlineStr">
        <is>
          <t>Vision Brewing (Yellow)</t>
        </is>
      </c>
      <c r="C30" t="inlineStr">
        <is>
          <t>Yellow</t>
        </is>
      </c>
      <c r="M30" t="inlineStr">
        <is>
          <t>Yumepirika</t>
        </is>
      </c>
      <c r="P30" t="inlineStr">
        <is>
          <t>Yumepirika</t>
        </is>
      </c>
      <c r="Q30" t="n">
        <v>0.43</v>
      </c>
      <c r="R30" t="n">
        <v>0.19</v>
      </c>
      <c r="S30" t="n">
        <v>2.26</v>
      </c>
      <c r="T30" t="n">
        <v>7</v>
      </c>
      <c r="U30" t="inlineStr">
        <is>
          <t>Hokkaido premium table</t>
        </is>
      </c>
    </row>
    <row r="31" ht="15" customHeight="1">
      <c r="B31" t="inlineStr">
        <is>
          <t>House Blend Fruity (Yellow)</t>
        </is>
      </c>
      <c r="C31" t="inlineStr">
        <is>
          <t>Yellow</t>
        </is>
      </c>
      <c r="M31" t="inlineStr">
        <is>
          <t>Tsuyahime</t>
        </is>
      </c>
      <c r="P31" t="inlineStr">
        <is>
          <t>Tsuyahime</t>
        </is>
      </c>
      <c r="Q31" t="n">
        <v>0.43</v>
      </c>
      <c r="R31" t="n">
        <v>0.19</v>
      </c>
      <c r="S31" t="n">
        <v>2.26</v>
      </c>
      <c r="T31" t="n">
        <v>7.1</v>
      </c>
      <c r="U31" t="inlineStr">
        <is>
          <t>Yamagata premium table</t>
        </is>
      </c>
    </row>
    <row r="32" ht="15" customHeight="1">
      <c r="B32" t="inlineStr">
        <is>
          <t>House Blend Neutral (Yellow)</t>
        </is>
      </c>
      <c r="C32" t="inlineStr">
        <is>
          <t>Yellow</t>
        </is>
      </c>
      <c r="M32" t="inlineStr">
        <is>
          <t>Milky Queen</t>
        </is>
      </c>
      <c r="P32" t="inlineStr">
        <is>
          <t>Milky Queen</t>
        </is>
      </c>
      <c r="Q32" t="n">
        <v>0.4</v>
      </c>
      <c r="R32" t="n">
        <v>0.18</v>
      </c>
      <c r="S32" t="n">
        <v>2.22</v>
      </c>
      <c r="T32" t="n">
        <v>7.2</v>
      </c>
      <c r="U32" t="inlineStr">
        <is>
          <t>Low-amylose, very sticky</t>
        </is>
      </c>
    </row>
    <row r="33" ht="15" customHeight="1">
      <c r="B33" t="inlineStr">
        <is>
          <t>Custom Yellow (Yellow)</t>
        </is>
      </c>
      <c r="C33" t="inlineStr">
        <is>
          <t>Yellow</t>
        </is>
      </c>
      <c r="M33" t="inlineStr">
        <is>
          <t>Calrose (USA)</t>
        </is>
      </c>
      <c r="P33" t="inlineStr">
        <is>
          <t>Calrose (USA)</t>
        </is>
      </c>
      <c r="Q33" t="n">
        <v>0.4</v>
      </c>
      <c r="R33" t="n">
        <v>0.22</v>
      </c>
      <c r="S33" t="n">
        <v>1.82</v>
      </c>
      <c r="T33" t="n">
        <v>7.8</v>
      </c>
      <c r="U33" t="inlineStr">
        <is>
          <t>California medium grain - widely available</t>
        </is>
      </c>
    </row>
    <row r="34" ht="15" customHeight="1">
      <c r="B34" t="inlineStr">
        <is>
          <t>Custom White (White)</t>
        </is>
      </c>
      <c r="C34" t="inlineStr">
        <is>
          <t>White</t>
        </is>
      </c>
      <c r="M34" t="inlineStr">
        <is>
          <t>Kokuho Rose (USA)</t>
        </is>
      </c>
      <c r="P34" s="107" t="inlineStr">
        <is>
          <t>Kokuho Rose (USA)</t>
        </is>
      </c>
      <c r="Q34" t="n">
        <v>0.41</v>
      </c>
      <c r="R34" t="n">
        <v>0.21</v>
      </c>
      <c r="S34" t="n">
        <v>1.95</v>
      </c>
      <c r="T34" t="n">
        <v>7.5</v>
      </c>
      <c r="U34" t="inlineStr">
        <is>
          <t>California premium - Koda Farms</t>
        </is>
      </c>
    </row>
    <row r="35" ht="15" customHeight="1">
      <c r="B35" t="inlineStr">
        <is>
          <t>Custom Black (Black)</t>
        </is>
      </c>
      <c r="C35" t="inlineStr">
        <is>
          <t>Black</t>
        </is>
      </c>
      <c r="M35" t="inlineStr">
        <is>
          <t>Tamaki Gold (USA)</t>
        </is>
      </c>
      <c r="P35" t="inlineStr">
        <is>
          <t>Tamaki Gold (USA)</t>
        </is>
      </c>
      <c r="Q35" t="n">
        <v>0.42</v>
      </c>
      <c r="R35" t="n">
        <v>0.2</v>
      </c>
      <c r="S35" t="n">
        <v>2.1</v>
      </c>
      <c r="T35" t="n">
        <v>7.3</v>
      </c>
      <c r="U35" t="inlineStr">
        <is>
          <t>California Koshihikari-style</t>
        </is>
      </c>
    </row>
    <row r="36" ht="15" customHeight="1">
      <c r="M36" t="inlineStr">
        <is>
          <t>Tamanishiki (USA)</t>
        </is>
      </c>
      <c r="P36" t="inlineStr">
        <is>
          <t>Tamanishiki (USA)</t>
        </is>
      </c>
      <c r="Q36" t="n">
        <v>0.42</v>
      </c>
      <c r="R36" t="n">
        <v>0.2</v>
      </c>
      <c r="S36" t="n">
        <v>2.1</v>
      </c>
      <c r="T36" t="n">
        <v>7.2</v>
      </c>
      <c r="U36" t="inlineStr">
        <is>
          <t>Super premium California</t>
        </is>
      </c>
    </row>
    <row r="37" ht="15" customHeight="1">
      <c r="M37" t="inlineStr">
        <is>
          <t>Kagayaki (USA)</t>
        </is>
      </c>
      <c r="P37" t="inlineStr">
        <is>
          <t>Kagayaki (USA)</t>
        </is>
      </c>
      <c r="Q37" t="n">
        <v>0.41</v>
      </c>
      <c r="R37" t="n">
        <v>0.21</v>
      </c>
      <c r="S37" t="n">
        <v>1.95</v>
      </c>
      <c r="T37" t="n">
        <v>7.4</v>
      </c>
      <c r="U37" t="inlineStr">
        <is>
          <t>California short grain</t>
        </is>
      </c>
    </row>
    <row r="38" ht="15" customHeight="1">
      <c r="M38" t="inlineStr">
        <is>
          <t>Nishiki (USA)</t>
        </is>
      </c>
      <c r="P38" s="107" t="inlineStr">
        <is>
          <t>Nishiki (USA)</t>
        </is>
      </c>
      <c r="Q38" t="n">
        <v>0.4</v>
      </c>
      <c r="R38" t="n">
        <v>0.22</v>
      </c>
      <c r="S38" t="n">
        <v>1.82</v>
      </c>
      <c r="T38" t="n">
        <v>7.6</v>
      </c>
      <c r="U38" t="inlineStr">
        <is>
          <t>California medium grain - common</t>
        </is>
      </c>
    </row>
    <row r="39" ht="15" customHeight="1">
      <c r="M39" t="inlineStr">
        <is>
          <t>Botan (USA)</t>
        </is>
      </c>
      <c r="P39" t="inlineStr">
        <is>
          <t>Botan (USA)</t>
        </is>
      </c>
      <c r="Q39" t="n">
        <v>0.4</v>
      </c>
      <c r="R39" t="n">
        <v>0.22</v>
      </c>
      <c r="S39" t="n">
        <v>1.82</v>
      </c>
      <c r="T39" t="n">
        <v>7.7</v>
      </c>
      <c r="U39" t="inlineStr">
        <is>
          <t>California Calrose type</t>
        </is>
      </c>
    </row>
    <row r="40" ht="15" customHeight="1">
      <c r="M40" t="inlineStr">
        <is>
          <t>Koda Farms Kokuho (USA)</t>
        </is>
      </c>
      <c r="P40" t="inlineStr">
        <is>
          <t>Koda Farms Kokuho (USA)</t>
        </is>
      </c>
      <c r="Q40" t="n">
        <v>0.42</v>
      </c>
      <c r="R40" t="n">
        <v>0.2</v>
      </c>
      <c r="S40" t="n">
        <v>2.1</v>
      </c>
      <c r="T40" t="n">
        <v>7.3</v>
      </c>
      <c r="U40" t="inlineStr">
        <is>
          <t>Artisan California - organic available</t>
        </is>
      </c>
    </row>
    <row r="41" ht="15" customHeight="1">
      <c r="M41" t="inlineStr">
        <is>
          <t>Lundberg Sushi (USA)</t>
        </is>
      </c>
      <c r="P41" t="inlineStr">
        <is>
          <t>Lundberg Sushi (USA)</t>
        </is>
      </c>
      <c r="Q41" t="n">
        <v>0.4</v>
      </c>
      <c r="R41" t="n">
        <v>0.22</v>
      </c>
      <c r="S41" t="n">
        <v>1.82</v>
      </c>
      <c r="T41" t="n">
        <v>7.5</v>
      </c>
      <c r="U41" t="inlineStr">
        <is>
          <t>California organic short grain</t>
        </is>
      </c>
    </row>
    <row r="42" ht="15" customHeight="1">
      <c r="M42" t="inlineStr">
        <is>
          <t>Carolina Gold (USA)</t>
        </is>
      </c>
      <c r="P42" t="inlineStr">
        <is>
          <t>Carolina Gold (USA)</t>
        </is>
      </c>
      <c r="Q42" t="n">
        <v>0.38</v>
      </c>
      <c r="R42" t="n">
        <v>0.23</v>
      </c>
      <c r="S42" t="n">
        <v>1.65</v>
      </c>
      <c r="T42" t="n">
        <v>8</v>
      </c>
      <c r="U42" t="inlineStr">
        <is>
          <t>Heritage long grain - not ideal for sake</t>
        </is>
      </c>
    </row>
    <row r="43" ht="15" customHeight="1">
      <c r="M43" t="inlineStr">
        <is>
          <t>Koshihikari (USA)</t>
        </is>
      </c>
      <c r="P43" t="inlineStr">
        <is>
          <t>Koshihikari (USA)</t>
        </is>
      </c>
      <c r="Q43" t="n">
        <v>0.42</v>
      </c>
      <c r="R43" t="n">
        <v>0.18</v>
      </c>
      <c r="S43" t="n">
        <v>2.33</v>
      </c>
      <c r="T43" t="n">
        <v>7.2</v>
      </c>
      <c r="U43" t="inlineStr">
        <is>
          <t>US-grown Koshihikari - Texas/Arkansas</t>
        </is>
      </c>
    </row>
    <row r="44" ht="15" customHeight="1">
      <c r="M44" t="inlineStr">
        <is>
          <t>Akitakomachi (USA)</t>
        </is>
      </c>
      <c r="P44" t="inlineStr">
        <is>
          <t>Akitakomachi (USA)</t>
        </is>
      </c>
      <c r="Q44" t="n">
        <v>0.42</v>
      </c>
      <c r="R44" t="n">
        <v>0.2</v>
      </c>
      <c r="S44" t="n">
        <v>2.1</v>
      </c>
      <c r="T44" t="n">
        <v>7.4</v>
      </c>
      <c r="U44" t="inlineStr">
        <is>
          <t>US-grown Akitakomachi</t>
        </is>
      </c>
    </row>
    <row r="45" ht="15" customHeight="1">
      <c r="M45" t="inlineStr">
        <is>
          <t>Chucheong (Korea)</t>
        </is>
      </c>
      <c r="P45" t="inlineStr">
        <is>
          <t>Chucheong (Korea)</t>
        </is>
      </c>
      <c r="Q45" t="n">
        <v>0.41</v>
      </c>
      <c r="R45" t="n">
        <v>0.21</v>
      </c>
      <c r="S45" t="n">
        <v>1.95</v>
      </c>
      <c r="T45" t="n">
        <v>7.5</v>
      </c>
      <c r="U45" t="inlineStr">
        <is>
          <t>Korean short grain - similar to Calrose</t>
        </is>
      </c>
    </row>
    <row r="46" ht="15" customHeight="1">
      <c r="M46" t="inlineStr">
        <is>
          <t>Generic Short Grain</t>
        </is>
      </c>
      <c r="P46" t="inlineStr">
        <is>
          <t>Generic Short Grain</t>
        </is>
      </c>
      <c r="Q46" t="n">
        <v>0.41</v>
      </c>
      <c r="R46" t="n">
        <v>0.21</v>
      </c>
      <c r="S46" t="n">
        <v>1.97</v>
      </c>
      <c r="T46" t="n">
        <v>7.5</v>
      </c>
      <c r="U46" t="inlineStr">
        <is>
          <t>NRIB average - use for unknowns</t>
        </is>
      </c>
    </row>
    <row r="47" ht="15" customHeight="1">
      <c r="M47" t="inlineStr">
        <is>
          <t>Generic Medium Grain</t>
        </is>
      </c>
      <c r="P47" t="inlineStr">
        <is>
          <t>Generic Medium Grain</t>
        </is>
      </c>
      <c r="Q47" t="n">
        <v>0.4</v>
      </c>
      <c r="R47" t="n">
        <v>0.22</v>
      </c>
      <c r="S47" t="n">
        <v>1.82</v>
      </c>
      <c r="T47" t="n">
        <v>7.7</v>
      </c>
      <c r="U47" t="inlineStr">
        <is>
          <t>Medium grain average</t>
        </is>
      </c>
    </row>
    <row r="48" ht="15" customHeight="1">
      <c r="M48" t="inlineStr">
        <is>
          <t>Generic Table Rice</t>
        </is>
      </c>
      <c r="P48" t="inlineStr">
        <is>
          <t>Generic Table Rice</t>
        </is>
      </c>
      <c r="Q48" t="n">
        <v>0.41</v>
      </c>
      <c r="R48" t="n">
        <v>0.21</v>
      </c>
      <c r="S48" t="n">
        <v>1.95</v>
      </c>
      <c r="T48" t="n">
        <v>7.5</v>
      </c>
      <c r="U48" t="inlineStr">
        <is>
          <t>Table rice average</t>
        </is>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Acidhouse Sake Calculator</dc:creator>
  <dc:title xmlns:dc="http://purl.org/dc/elements/1.1/">Acidhouse Sake Calculator v315</dc:title>
  <dc:language xmlns:dc="http://purl.org/dc/elements/1.1/">en-US</dc:language>
  <dcterms:created xmlns:dcterms="http://purl.org/dc/terms/" xmlns:xsi="http://www.w3.org/2001/XMLSchema-instance" xsi:type="dcterms:W3CDTF">2025-11-13T20:38:17Z</dcterms:created>
  <dcterms:modified xmlns:dcterms="http://purl.org/dc/terms/" xmlns:xsi="http://www.w3.org/2001/XMLSchema-instance" xsi:type="dcterms:W3CDTF">2025-12-11T04:15:27Z</dcterms:modified>
  <cp:lastModifiedBy>Acidhouse</cp:lastModifiedBy>
  <cp:revision>186</cp:revision>
</cp:coreProperties>
</file>