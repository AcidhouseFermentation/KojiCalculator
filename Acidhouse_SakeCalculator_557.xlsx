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jesse/Library/Mobile Documents/com~apple~CloudDocs/Acidhouse/kojicalc/"/>
    </mc:Choice>
  </mc:AlternateContent>
  <xr:revisionPtr revIDLastSave="0" documentId="8_{209730AE-3D50-1849-9F7A-55828D64E642}" xr6:coauthVersionLast="47" xr6:coauthVersionMax="47" xr10:uidLastSave="{00000000-0000-0000-0000-000000000000}"/>
  <bookViews>
    <workbookView xWindow="0" yWindow="780" windowWidth="34200" windowHeight="20120" activeTab="7" xr2:uid="{00000000-000D-0000-FFFF-FFFF00000000}"/>
  </bookViews>
  <sheets>
    <sheet name="Guide" sheetId="1" r:id="rId1"/>
    <sheet name="Recipe" sheetId="2" r:id="rId2"/>
    <sheet name="Plan" sheetId="3" r:id="rId3"/>
    <sheet name="Quick Calc" sheetId="4" r:id="rId4"/>
    <sheet name="Koji Ferments" sheetId="5" r:id="rId5"/>
    <sheet name="Soak Calc" sheetId="6" r:id="rId6"/>
    <sheet name="Yeast Calc" sheetId="7" r:id="rId7"/>
    <sheet name="Pasteurization Calc" sheetId="8" r:id="rId8"/>
    <sheet name="Troubleshooting" sheetId="9" r:id="rId9"/>
    <sheet name="_Allocations" sheetId="10" state="hidden" r:id="rId10"/>
    <sheet name="_Inputs" sheetId="11" state="hidden" r:id="rId11"/>
    <sheet name="_Presets" sheetId="12" state="hidden" r:id="rId12"/>
    <sheet name="_Constants" sheetId="13" state="hidden" r:id="rId13"/>
    <sheet name="_MotoConfig" sheetId="14" state="hidden" r:id="rId14"/>
    <sheet name="_Lookups" sheetId="15"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1" l="1"/>
  <c r="B33" i="11" s="1"/>
  <c r="B30" i="11"/>
  <c r="B31" i="11" s="1"/>
  <c r="B29" i="11"/>
  <c r="B30" i="10" s="1"/>
  <c r="B28" i="11"/>
  <c r="B27" i="11"/>
  <c r="B25" i="11"/>
  <c r="B4" i="11"/>
  <c r="B2" i="10" s="1"/>
  <c r="B1" i="11"/>
  <c r="B6" i="11" s="1"/>
  <c r="C59" i="10"/>
  <c r="B59" i="10"/>
  <c r="C58" i="10"/>
  <c r="B58" i="10"/>
  <c r="C57" i="10"/>
  <c r="B57" i="10"/>
  <c r="C56" i="10"/>
  <c r="B56" i="10"/>
  <c r="C55" i="10"/>
  <c r="B55" i="10"/>
  <c r="H54" i="10"/>
  <c r="C54" i="10"/>
  <c r="B54" i="10"/>
  <c r="B49" i="10"/>
  <c r="B48" i="10"/>
  <c r="B47" i="10"/>
  <c r="B46" i="10"/>
  <c r="B29" i="10"/>
  <c r="B28" i="10"/>
  <c r="A39" i="8"/>
  <c r="A38" i="8"/>
  <c r="A37" i="8"/>
  <c r="A36" i="8"/>
  <c r="A35" i="8"/>
  <c r="A40" i="8" s="1"/>
  <c r="B32" i="8"/>
  <c r="B31" i="8"/>
  <c r="B30" i="8"/>
  <c r="B27" i="8"/>
  <c r="B26" i="8"/>
  <c r="B25" i="8"/>
  <c r="B22" i="8"/>
  <c r="B21" i="8"/>
  <c r="B20" i="8"/>
  <c r="B19" i="8"/>
  <c r="B18" i="8"/>
  <c r="B17" i="8"/>
  <c r="B8" i="7"/>
  <c r="B7" i="7"/>
  <c r="B6" i="7"/>
  <c r="B5" i="7"/>
  <c r="F50" i="6"/>
  <c r="D50" i="6"/>
  <c r="D49" i="6"/>
  <c r="F49" i="6" s="1"/>
  <c r="F48" i="6"/>
  <c r="D48" i="6"/>
  <c r="F47" i="6"/>
  <c r="D47" i="6"/>
  <c r="F46" i="6"/>
  <c r="D46" i="6"/>
  <c r="D45" i="6"/>
  <c r="F45" i="6" s="1"/>
  <c r="F44" i="6"/>
  <c r="D44" i="6"/>
  <c r="F43" i="6"/>
  <c r="D43" i="6"/>
  <c r="B20" i="6"/>
  <c r="B18" i="6"/>
  <c r="B16" i="6"/>
  <c r="B17" i="6" s="1"/>
  <c r="D17" i="6" s="1"/>
  <c r="B15" i="6"/>
  <c r="B12" i="6"/>
  <c r="B11" i="6"/>
  <c r="D9" i="6"/>
  <c r="B9" i="6"/>
  <c r="B205" i="5"/>
  <c r="B204" i="5"/>
  <c r="B203" i="5"/>
  <c r="B202" i="5"/>
  <c r="B172" i="5"/>
  <c r="B171" i="5"/>
  <c r="B170" i="5"/>
  <c r="B169" i="5"/>
  <c r="B168" i="5"/>
  <c r="B149" i="5"/>
  <c r="B148" i="5"/>
  <c r="B147" i="5"/>
  <c r="B129" i="5"/>
  <c r="B128" i="5"/>
  <c r="B127" i="5"/>
  <c r="B109" i="5"/>
  <c r="B108" i="5"/>
  <c r="B107" i="5"/>
  <c r="B87" i="5"/>
  <c r="B86" i="5"/>
  <c r="B85" i="5"/>
  <c r="B84" i="5"/>
  <c r="B55" i="5"/>
  <c r="B54" i="5"/>
  <c r="B52" i="5"/>
  <c r="B53" i="5" s="1"/>
  <c r="B32" i="5"/>
  <c r="B31" i="5"/>
  <c r="B30" i="5"/>
  <c r="B14" i="5"/>
  <c r="B13" i="5"/>
  <c r="B12" i="5"/>
  <c r="B157" i="4"/>
  <c r="B154" i="4"/>
  <c r="B150" i="4"/>
  <c r="B142" i="4"/>
  <c r="B141" i="4"/>
  <c r="B134" i="4"/>
  <c r="B135" i="4" s="1"/>
  <c r="B117" i="4"/>
  <c r="B122" i="4" s="1"/>
  <c r="B104" i="4"/>
  <c r="B99" i="4"/>
  <c r="B90" i="4"/>
  <c r="B81" i="4"/>
  <c r="E80" i="4"/>
  <c r="B80" i="4"/>
  <c r="E64" i="4"/>
  <c r="B53" i="4"/>
  <c r="B52" i="4"/>
  <c r="B65" i="4" s="1"/>
  <c r="B50" i="4"/>
  <c r="B44" i="4"/>
  <c r="B38" i="4"/>
  <c r="B36" i="4"/>
  <c r="E32" i="4"/>
  <c r="B32" i="4"/>
  <c r="E25" i="4"/>
  <c r="B22" i="4"/>
  <c r="B18" i="4"/>
  <c r="E16" i="4"/>
  <c r="B15" i="4"/>
  <c r="B14" i="4"/>
  <c r="E12" i="4"/>
  <c r="B10" i="4"/>
  <c r="E8" i="4"/>
  <c r="E7" i="4"/>
  <c r="B7" i="4"/>
  <c r="B5" i="4"/>
  <c r="D106" i="3"/>
  <c r="D105" i="3"/>
  <c r="D104" i="3"/>
  <c r="E93" i="3"/>
  <c r="A88" i="3"/>
  <c r="F88" i="3" s="1"/>
  <c r="C87" i="3"/>
  <c r="A87" i="3"/>
  <c r="F87" i="3" s="1"/>
  <c r="A86" i="3"/>
  <c r="B86" i="3" s="1"/>
  <c r="A85" i="3"/>
  <c r="B85" i="3" s="1"/>
  <c r="A84" i="3"/>
  <c r="E87" i="3" s="1"/>
  <c r="A83" i="3"/>
  <c r="E86" i="3" s="1"/>
  <c r="A82" i="3"/>
  <c r="C85" i="3" s="1"/>
  <c r="A81" i="3"/>
  <c r="B81" i="3" s="1"/>
  <c r="D80" i="3"/>
  <c r="A80" i="3"/>
  <c r="E83" i="3" s="1"/>
  <c r="A79" i="3"/>
  <c r="E82" i="3" s="1"/>
  <c r="A78" i="3"/>
  <c r="C81" i="3" s="1"/>
  <c r="A77" i="3"/>
  <c r="B77" i="3" s="1"/>
  <c r="E76" i="3"/>
  <c r="D76" i="3"/>
  <c r="C76" i="3"/>
  <c r="A76" i="3"/>
  <c r="E79" i="3" s="1"/>
  <c r="F72" i="3"/>
  <c r="F71" i="3"/>
  <c r="F70" i="3"/>
  <c r="F69" i="3"/>
  <c r="F68" i="3"/>
  <c r="B64" i="3"/>
  <c r="A59" i="3"/>
  <c r="A58" i="3"/>
  <c r="A57" i="3"/>
  <c r="A56" i="3"/>
  <c r="D59" i="3" s="1"/>
  <c r="A55" i="3"/>
  <c r="A54" i="3"/>
  <c r="G57" i="3" s="1"/>
  <c r="E53" i="3"/>
  <c r="A53" i="3"/>
  <c r="G56" i="3" s="1"/>
  <c r="A52" i="3"/>
  <c r="C55" i="3" s="1"/>
  <c r="A51" i="3"/>
  <c r="B54" i="3" s="1"/>
  <c r="G50" i="3"/>
  <c r="A50" i="3"/>
  <c r="G53" i="3" s="1"/>
  <c r="G49" i="3"/>
  <c r="A49" i="3"/>
  <c r="G52" i="3" s="1"/>
  <c r="G48" i="3"/>
  <c r="E48" i="3"/>
  <c r="D48" i="3"/>
  <c r="C48" i="3"/>
  <c r="B48" i="3"/>
  <c r="A48" i="3"/>
  <c r="D51" i="3" s="1"/>
  <c r="B38" i="3"/>
  <c r="D33" i="3"/>
  <c r="C33" i="3"/>
  <c r="B33" i="3"/>
  <c r="A33" i="3"/>
  <c r="A32" i="3"/>
  <c r="D31" i="3"/>
  <c r="C31" i="3"/>
  <c r="B31" i="3"/>
  <c r="A31" i="3"/>
  <c r="D30" i="3"/>
  <c r="C30" i="3"/>
  <c r="B30" i="3"/>
  <c r="A30" i="3"/>
  <c r="E33" i="3" s="1"/>
  <c r="D29" i="3"/>
  <c r="C29" i="3"/>
  <c r="B29" i="3"/>
  <c r="A29" i="3"/>
  <c r="D28" i="3"/>
  <c r="C28" i="3"/>
  <c r="B28" i="3"/>
  <c r="A28" i="3"/>
  <c r="F31" i="3" s="1"/>
  <c r="D27" i="3"/>
  <c r="C27" i="3"/>
  <c r="B27" i="3"/>
  <c r="A27" i="3"/>
  <c r="F30" i="3" s="1"/>
  <c r="D26" i="3"/>
  <c r="C26" i="3"/>
  <c r="B26" i="3"/>
  <c r="A26" i="3"/>
  <c r="E29" i="3" s="1"/>
  <c r="D25" i="3"/>
  <c r="C25" i="3"/>
  <c r="B25" i="3"/>
  <c r="A25" i="3"/>
  <c r="E28" i="3" s="1"/>
  <c r="F24" i="3"/>
  <c r="E24" i="3"/>
  <c r="D24" i="3"/>
  <c r="C24" i="3"/>
  <c r="B24" i="3"/>
  <c r="A24" i="3"/>
  <c r="F27" i="3" s="1"/>
  <c r="F23" i="3"/>
  <c r="E23" i="3"/>
  <c r="D23" i="3"/>
  <c r="C23" i="3"/>
  <c r="B23" i="3"/>
  <c r="A23" i="3"/>
  <c r="F26" i="3" s="1"/>
  <c r="F22" i="3"/>
  <c r="E22" i="3"/>
  <c r="D22" i="3"/>
  <c r="C22" i="3"/>
  <c r="B22" i="3"/>
  <c r="A22" i="3"/>
  <c r="E25" i="3" s="1"/>
  <c r="B16" i="3"/>
  <c r="B10" i="3"/>
  <c r="D101" i="3" s="1"/>
  <c r="B8" i="3"/>
  <c r="B7" i="3"/>
  <c r="B5" i="3"/>
  <c r="G1" i="3"/>
  <c r="B103" i="2"/>
  <c r="B102" i="2"/>
  <c r="B101" i="2"/>
  <c r="C100" i="2"/>
  <c r="D100" i="2" s="1"/>
  <c r="E100" i="2" s="1"/>
  <c r="B100" i="2"/>
  <c r="B99" i="2"/>
  <c r="C98" i="2"/>
  <c r="D98" i="2" s="1"/>
  <c r="B98" i="2"/>
  <c r="D97" i="2"/>
  <c r="C120" i="2" s="1"/>
  <c r="C97" i="2"/>
  <c r="B97" i="2"/>
  <c r="C96" i="2"/>
  <c r="D96" i="2" s="1"/>
  <c r="B96" i="2"/>
  <c r="B90" i="2"/>
  <c r="C103" i="2" s="1"/>
  <c r="D103" i="2" s="1"/>
  <c r="E103" i="2" s="1"/>
  <c r="B89" i="2"/>
  <c r="C88" i="2"/>
  <c r="B88" i="2"/>
  <c r="B87" i="2"/>
  <c r="C87" i="2" s="1"/>
  <c r="B86" i="2"/>
  <c r="C102" i="2" s="1"/>
  <c r="D99" i="2" s="1"/>
  <c r="B85" i="2"/>
  <c r="C101" i="2" s="1"/>
  <c r="D101" i="2" s="1"/>
  <c r="E101" i="2" s="1"/>
  <c r="B84" i="2"/>
  <c r="C83" i="2"/>
  <c r="B83" i="2"/>
  <c r="C99" i="2" s="1"/>
  <c r="D102" i="2" s="1"/>
  <c r="E99" i="2" s="1"/>
  <c r="B82" i="2"/>
  <c r="B81" i="2"/>
  <c r="B80" i="2"/>
  <c r="B64" i="2"/>
  <c r="B63" i="2"/>
  <c r="B59" i="2"/>
  <c r="B44" i="2"/>
  <c r="B43" i="2"/>
  <c r="B42" i="2"/>
  <c r="B41" i="2"/>
  <c r="B27" i="2"/>
  <c r="E24" i="2"/>
  <c r="E23" i="2"/>
  <c r="E22" i="2"/>
  <c r="E21" i="2"/>
  <c r="E20" i="2"/>
  <c r="E19" i="2"/>
  <c r="E18" i="2"/>
  <c r="B6" i="2"/>
  <c r="B50" i="3"/>
  <c r="E77" i="3"/>
  <c r="C50" i="3"/>
  <c r="E78" i="3"/>
  <c r="C77" i="3"/>
  <c r="D49" i="3"/>
  <c r="D50" i="3"/>
  <c r="E50" i="3"/>
  <c r="D78" i="3"/>
  <c r="B49" i="3"/>
  <c r="E49" i="3"/>
  <c r="D77" i="3"/>
  <c r="C78" i="3"/>
  <c r="C49" i="3"/>
  <c r="F33" i="3" l="1"/>
  <c r="F25" i="3"/>
  <c r="E84" i="3"/>
  <c r="E27" i="3"/>
  <c r="F84" i="3"/>
  <c r="E80" i="3"/>
  <c r="E51" i="3"/>
  <c r="B80" i="3"/>
  <c r="C83" i="3"/>
  <c r="D87" i="3"/>
  <c r="F77" i="3"/>
  <c r="F82" i="3"/>
  <c r="C80" i="3"/>
  <c r="C59" i="3"/>
  <c r="C54" i="3"/>
  <c r="B57" i="3"/>
  <c r="G59" i="3"/>
  <c r="B76" i="3"/>
  <c r="F78" i="3"/>
  <c r="G51" i="3"/>
  <c r="G54" i="3"/>
  <c r="D57" i="3"/>
  <c r="F80" i="3"/>
  <c r="D83" i="3"/>
  <c r="D85" i="3"/>
  <c r="B88" i="3"/>
  <c r="E59" i="3"/>
  <c r="F85" i="3"/>
  <c r="C88" i="3"/>
  <c r="E57" i="3"/>
  <c r="C79" i="3"/>
  <c r="F29" i="3"/>
  <c r="D55" i="3"/>
  <c r="D79" i="3"/>
  <c r="D81" i="3"/>
  <c r="B84" i="3"/>
  <c r="D88" i="3"/>
  <c r="E31" i="3"/>
  <c r="B53" i="3"/>
  <c r="E55" i="3"/>
  <c r="F76" i="3"/>
  <c r="F81" i="3"/>
  <c r="C84" i="3"/>
  <c r="F86" i="3"/>
  <c r="E88" i="3"/>
  <c r="F28" i="3"/>
  <c r="D53" i="3"/>
  <c r="G55" i="3"/>
  <c r="B59" i="3"/>
  <c r="D84" i="3"/>
  <c r="E96" i="2"/>
  <c r="C119" i="2"/>
  <c r="C118" i="2"/>
  <c r="B56" i="4"/>
  <c r="B58" i="4" s="1"/>
  <c r="C121" i="2"/>
  <c r="E98" i="2"/>
  <c r="C117" i="2"/>
  <c r="E102" i="2"/>
  <c r="B120" i="4"/>
  <c r="E97" i="2"/>
  <c r="D54" i="3"/>
  <c r="E81" i="3"/>
  <c r="E85" i="3"/>
  <c r="B106" i="2"/>
  <c r="B107" i="2" s="1"/>
  <c r="C53" i="3"/>
  <c r="E54" i="3"/>
  <c r="C57" i="3"/>
  <c r="B79" i="3"/>
  <c r="B83" i="3"/>
  <c r="B87" i="3"/>
  <c r="B121" i="4"/>
  <c r="B4" i="10"/>
  <c r="B2" i="11"/>
  <c r="D98" i="3"/>
  <c r="C52" i="3"/>
  <c r="D99" i="3"/>
  <c r="D11" i="10"/>
  <c r="B51" i="3"/>
  <c r="D52" i="3"/>
  <c r="B55" i="3"/>
  <c r="D56" i="3"/>
  <c r="C82" i="3"/>
  <c r="C86" i="3"/>
  <c r="D100" i="3"/>
  <c r="B55" i="4"/>
  <c r="B7" i="10"/>
  <c r="C56" i="3"/>
  <c r="B78" i="3"/>
  <c r="B82" i="3"/>
  <c r="E26" i="3"/>
  <c r="E30" i="3"/>
  <c r="C51" i="3"/>
  <c r="E52" i="3"/>
  <c r="E56" i="3"/>
  <c r="F79" i="3"/>
  <c r="D82" i="3"/>
  <c r="F83" i="3"/>
  <c r="D86" i="3"/>
  <c r="B52" i="3"/>
  <c r="B56" i="3"/>
  <c r="D110" i="3" l="1"/>
  <c r="B16" i="11"/>
  <c r="B8" i="11"/>
  <c r="D59" i="10"/>
  <c r="D58" i="10"/>
  <c r="D57" i="10"/>
  <c r="D56" i="10"/>
  <c r="D55" i="10"/>
  <c r="D54" i="10"/>
  <c r="E54" i="10" s="1"/>
  <c r="B24" i="11"/>
  <c r="B15" i="11"/>
  <c r="B7" i="11"/>
  <c r="B13" i="11"/>
  <c r="B22" i="11"/>
  <c r="B14" i="11"/>
  <c r="B21" i="11"/>
  <c r="B5" i="11"/>
  <c r="B3" i="10" s="1"/>
  <c r="B5" i="10" s="1"/>
  <c r="B6" i="10" s="1"/>
  <c r="B34" i="2" s="1"/>
  <c r="B20" i="11"/>
  <c r="B12" i="11"/>
  <c r="B19" i="11"/>
  <c r="B11" i="11"/>
  <c r="B17" i="11"/>
  <c r="B18" i="11"/>
  <c r="B10" i="11"/>
  <c r="B9" i="11"/>
  <c r="B31" i="2"/>
  <c r="D9" i="10"/>
  <c r="B110" i="2" s="1"/>
  <c r="B113" i="2" s="1"/>
  <c r="B111" i="2"/>
  <c r="E40" i="2"/>
  <c r="E45" i="10"/>
  <c r="B43" i="3"/>
  <c r="D113" i="3"/>
  <c r="B70" i="10"/>
  <c r="B8" i="10"/>
  <c r="B37" i="2" s="1"/>
  <c r="E112" i="3"/>
  <c r="B35" i="2"/>
  <c r="D114" i="3"/>
  <c r="E107" i="3" l="1"/>
  <c r="E111" i="3"/>
  <c r="B38" i="10"/>
  <c r="B33" i="10"/>
  <c r="B24" i="7"/>
  <c r="B26" i="11"/>
  <c r="B27" i="10" s="1"/>
  <c r="B34" i="10" s="1"/>
  <c r="B35" i="10" s="1"/>
  <c r="B25" i="7" s="1"/>
  <c r="H58" i="10"/>
  <c r="E58" i="10"/>
  <c r="B33" i="2"/>
  <c r="B32" i="2"/>
  <c r="B11" i="10"/>
  <c r="B9" i="10"/>
  <c r="H59" i="10"/>
  <c r="E59" i="10"/>
  <c r="H55" i="10"/>
  <c r="E55" i="10"/>
  <c r="B20" i="10"/>
  <c r="B50" i="2" s="1"/>
  <c r="B30" i="2"/>
  <c r="B19" i="10"/>
  <c r="F54" i="10"/>
  <c r="B18" i="10"/>
  <c r="B47" i="2" s="1"/>
  <c r="H56" i="10"/>
  <c r="E56" i="10"/>
  <c r="H57" i="10"/>
  <c r="E57" i="10"/>
  <c r="B48" i="2" l="1"/>
  <c r="B49" i="2"/>
  <c r="B21" i="10"/>
  <c r="B51" i="2" s="1"/>
  <c r="D12" i="10"/>
  <c r="B15" i="10"/>
  <c r="D14" i="10"/>
  <c r="B12" i="10"/>
  <c r="B14" i="10"/>
  <c r="D13" i="10"/>
  <c r="D15" i="10"/>
  <c r="B13" i="10"/>
  <c r="G54" i="10"/>
  <c r="E103" i="3"/>
  <c r="B41" i="3"/>
  <c r="B23" i="10"/>
  <c r="C11" i="10"/>
  <c r="B39" i="10"/>
  <c r="B26" i="7" s="1"/>
  <c r="B17" i="7"/>
  <c r="B40" i="10"/>
  <c r="E97" i="3" l="1"/>
  <c r="D96" i="3"/>
  <c r="E95" i="3"/>
  <c r="D92" i="3"/>
  <c r="F40" i="2"/>
  <c r="C9" i="10"/>
  <c r="B55" i="2"/>
  <c r="B56" i="2"/>
  <c r="B4" i="7" s="1"/>
  <c r="B11" i="7" s="1"/>
  <c r="B24" i="10"/>
  <c r="B54" i="2" s="1"/>
  <c r="E68" i="3"/>
  <c r="E41" i="2"/>
  <c r="E46" i="10"/>
  <c r="D42" i="2"/>
  <c r="C70" i="3"/>
  <c r="C47" i="10"/>
  <c r="F57" i="10"/>
  <c r="G57" i="10" s="1"/>
  <c r="I57" i="10" s="1"/>
  <c r="E42" i="2"/>
  <c r="E70" i="3"/>
  <c r="E47" i="10"/>
  <c r="I54" i="10"/>
  <c r="B42" i="3"/>
  <c r="C40" i="2"/>
  <c r="D45" i="10"/>
  <c r="B40" i="2"/>
  <c r="B45" i="10"/>
  <c r="B28" i="2"/>
  <c r="B29" i="2" s="1"/>
  <c r="D40" i="2"/>
  <c r="C45" i="10"/>
  <c r="B44" i="3"/>
  <c r="F55" i="10"/>
  <c r="E43" i="2"/>
  <c r="E71" i="3"/>
  <c r="E48" i="10"/>
  <c r="B21" i="7"/>
  <c r="B18" i="7"/>
  <c r="B19" i="7" s="1"/>
  <c r="B20" i="7" s="1"/>
  <c r="E72" i="3"/>
  <c r="E49" i="10"/>
  <c r="F44" i="2"/>
  <c r="E44" i="2"/>
  <c r="D94" i="3"/>
  <c r="C71" i="3"/>
  <c r="C48" i="10"/>
  <c r="D43" i="2"/>
  <c r="F58" i="10"/>
  <c r="G58" i="10" s="1"/>
  <c r="I58" i="10" s="1"/>
  <c r="C46" i="10"/>
  <c r="C68" i="3"/>
  <c r="F56" i="10"/>
  <c r="G56" i="10" s="1"/>
  <c r="I56" i="10" s="1"/>
  <c r="D41" i="2"/>
  <c r="C72" i="3"/>
  <c r="D44" i="2"/>
  <c r="C49" i="10"/>
  <c r="F59" i="10"/>
  <c r="G59" i="10" s="1"/>
  <c r="I59" i="10" s="1"/>
  <c r="C15" i="10" l="1"/>
  <c r="C12" i="10"/>
  <c r="C14" i="10"/>
  <c r="C13" i="10"/>
  <c r="B12" i="7"/>
  <c r="B60" i="2" s="1"/>
  <c r="B13" i="7"/>
  <c r="F61" i="10"/>
  <c r="B65" i="10" s="1"/>
  <c r="G55" i="10"/>
  <c r="B14" i="7" l="1"/>
  <c r="B62" i="2" s="1"/>
  <c r="B61" i="2"/>
  <c r="C42" i="2"/>
  <c r="D70" i="3"/>
  <c r="F42" i="2"/>
  <c r="D47" i="10"/>
  <c r="D71" i="3"/>
  <c r="D48" i="10"/>
  <c r="C43" i="2"/>
  <c r="F43" i="2"/>
  <c r="D46" i="10"/>
  <c r="D68" i="3"/>
  <c r="F41" i="2"/>
  <c r="C41" i="2"/>
  <c r="C44" i="2"/>
  <c r="D72" i="3"/>
  <c r="D49" i="10"/>
  <c r="I55" i="10"/>
  <c r="I61" i="10" s="1"/>
  <c r="G61" i="10"/>
  <c r="B64" i="10" s="1"/>
  <c r="B66" i="10" l="1"/>
  <c r="B67" i="10" l="1"/>
  <c r="B68" i="10" l="1"/>
  <c r="B69" i="10"/>
  <c r="B71" i="10" s="1"/>
  <c r="B68" i="2" l="1"/>
  <c r="B72" i="10"/>
  <c r="B69" i="2" s="1"/>
  <c r="B7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26" authorId="0" shapeId="0" xr:uid="{00000000-0006-0000-0000-000001000000}">
      <text>
        <r>
          <rPr>
            <sz val="11"/>
            <color theme="1"/>
            <rFont val="Calibri"/>
            <family val="2"/>
            <scheme val="minor"/>
          </rPr>
          <t>Cells with red triangles contain Toji notes. These provide brewing guidance, safe operating ranges, calculation basis, and scientific sources. Hover over any cell with a red triangle to see its note.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A3" authorId="0" shapeId="0" xr:uid="{00000000-0006-0000-0100-000001000000}">
      <text>
        <r>
          <rPr>
            <sz val="11"/>
            <color theme="1"/>
            <rFont val="Calibri"/>
            <family val="2"/>
            <scheme val="minor"/>
          </rPr>
          <t>RECIPE SETTINGS define the core parameters.
Total rice drives all calculations.
Preset auto-fills proven ratio combinations.
Override any value for custom recipes.</t>
        </r>
      </text>
    </comment>
    <comment ref="B4" authorId="0" shapeId="0" xr:uid="{00000000-0006-0000-0100-000002000000}">
      <text>
        <r>
          <rPr>
            <sz val="11"/>
            <color rgb="FF000000"/>
            <rFont val="Calibri"/>
            <family val="2"/>
          </rPr>
          <t>Total Rice (</t>
        </r>
        <r>
          <rPr>
            <sz val="11"/>
            <color rgb="FF000000"/>
            <rFont val="Calibri"/>
            <family val="2"/>
          </rPr>
          <t>総米</t>
        </r>
        <r>
          <rPr>
            <sz val="11"/>
            <color rgb="FF000000"/>
            <rFont val="Calibri"/>
            <family val="2"/>
          </rPr>
          <t xml:space="preserve">, </t>
        </r>
        <r>
          <rPr>
            <sz val="11"/>
            <color rgb="FF000000"/>
            <rFont val="Calibri"/>
            <family val="2"/>
          </rPr>
          <t>そうまい</t>
        </r>
        <r>
          <rPr>
            <sz val="11"/>
            <color rgb="FF000000"/>
            <rFont val="Calibri"/>
            <family val="2"/>
          </rPr>
          <t xml:space="preserve">)
</t>
        </r>
        <r>
          <rPr>
            <sz val="11"/>
            <color rgb="FF000000"/>
            <rFont val="Calibri"/>
            <family val="2"/>
          </rPr>
          <t xml:space="preserve">
</t>
        </r>
        <r>
          <rPr>
            <sz val="11"/>
            <color rgb="FF000000"/>
            <rFont val="Calibri"/>
            <family val="2"/>
          </rPr>
          <t xml:space="preserve">Total dry rice weight for entire batch.
</t>
        </r>
        <r>
          <rPr>
            <sz val="11"/>
            <color rgb="FF000000"/>
            <rFont val="Calibri"/>
            <family val="2"/>
          </rPr>
          <t xml:space="preserve">All other quantities scale from this.
</t>
        </r>
        <r>
          <rPr>
            <sz val="11"/>
            <color rgb="FF000000"/>
            <rFont val="Calibri"/>
            <family val="2"/>
          </rPr>
          <t xml:space="preserve">
</t>
        </r>
        <r>
          <rPr>
            <sz val="11"/>
            <color rgb="FF000000"/>
            <rFont val="Calibri"/>
            <family val="2"/>
          </rPr>
          <t>Commercial (</t>
        </r>
        <r>
          <rPr>
            <sz val="11"/>
            <color rgb="FF000000"/>
            <rFont val="Calibri"/>
            <family val="2"/>
          </rPr>
          <t>商業</t>
        </r>
        <r>
          <rPr>
            <sz val="11"/>
            <color rgb="FF000000"/>
            <rFont val="Calibri"/>
            <family val="2"/>
          </rPr>
          <t xml:space="preserve">, </t>
        </r>
        <r>
          <rPr>
            <sz val="11"/>
            <color rgb="FF000000"/>
            <rFont val="Calibri"/>
            <family val="2"/>
          </rPr>
          <t>しょうぎょう</t>
        </r>
        <r>
          <rPr>
            <sz val="11"/>
            <color rgb="FF000000"/>
            <rFont val="Calibri"/>
            <family val="2"/>
          </rPr>
          <t xml:space="preserve">): 500-2000+ kg per batch
</t>
        </r>
        <r>
          <rPr>
            <sz val="11"/>
            <color rgb="FF000000"/>
            <rFont val="Calibri"/>
            <family val="2"/>
          </rPr>
          <t>Craft (</t>
        </r>
        <r>
          <rPr>
            <sz val="11"/>
            <color rgb="FF000000"/>
            <rFont val="Calibri"/>
            <family val="2"/>
          </rPr>
          <t>小規模</t>
        </r>
        <r>
          <rPr>
            <sz val="11"/>
            <color rgb="FF000000"/>
            <rFont val="Calibri"/>
            <family val="2"/>
          </rPr>
          <t xml:space="preserve">, </t>
        </r>
        <r>
          <rPr>
            <sz val="11"/>
            <color rgb="FF000000"/>
            <rFont val="Calibri"/>
            <family val="2"/>
          </rPr>
          <t>しょうきぼ</t>
        </r>
        <r>
          <rPr>
            <sz val="11"/>
            <color rgb="FF000000"/>
            <rFont val="Calibri"/>
            <family val="2"/>
          </rPr>
          <t xml:space="preserve">): 50-200 kg
</t>
        </r>
        <r>
          <rPr>
            <sz val="11"/>
            <color rgb="FF000000"/>
            <rFont val="Calibri"/>
            <family val="2"/>
          </rPr>
          <t>Homebrew (</t>
        </r>
        <r>
          <rPr>
            <sz val="11"/>
            <color rgb="FF000000"/>
            <rFont val="Calibri"/>
            <family val="2"/>
          </rPr>
          <t>自家醸造</t>
        </r>
        <r>
          <rPr>
            <sz val="11"/>
            <color rgb="FF000000"/>
            <rFont val="Calibri"/>
            <family val="2"/>
          </rPr>
          <t xml:space="preserve">, </t>
        </r>
        <r>
          <rPr>
            <sz val="11"/>
            <color rgb="FF000000"/>
            <rFont val="Calibri"/>
            <family val="2"/>
          </rPr>
          <t>じかじょうぞう</t>
        </r>
        <r>
          <rPr>
            <sz val="11"/>
            <color rgb="FF000000"/>
            <rFont val="Calibri"/>
            <family val="2"/>
          </rPr>
          <t xml:space="preserve">): 2-20 kg
</t>
        </r>
        <r>
          <rPr>
            <sz val="11"/>
            <color rgb="FF000000"/>
            <rFont val="Calibri"/>
            <family val="2"/>
          </rPr>
          <t xml:space="preserve">
</t>
        </r>
        <r>
          <rPr>
            <sz val="11"/>
            <color rgb="FF000000"/>
            <rFont val="Calibri"/>
            <family val="2"/>
          </rPr>
          <t>Enter dry/raw rice (</t>
        </r>
        <r>
          <rPr>
            <sz val="11"/>
            <color rgb="FF000000"/>
            <rFont val="Calibri"/>
            <family val="2"/>
          </rPr>
          <t>白米</t>
        </r>
        <r>
          <rPr>
            <sz val="11"/>
            <color rgb="FF000000"/>
            <rFont val="Calibri"/>
            <family val="2"/>
          </rPr>
          <t xml:space="preserve">, </t>
        </r>
        <r>
          <rPr>
            <sz val="11"/>
            <color rgb="FF000000"/>
            <rFont val="Calibri"/>
            <family val="2"/>
          </rPr>
          <t>はくまい</t>
        </r>
        <r>
          <rPr>
            <sz val="11"/>
            <color rgb="FF000000"/>
            <rFont val="Calibri"/>
            <family val="2"/>
          </rPr>
          <t>) weight - steamed weights (</t>
        </r>
        <r>
          <rPr>
            <sz val="11"/>
            <color rgb="FF000000"/>
            <rFont val="Calibri"/>
            <family val="2"/>
          </rPr>
          <t>蒸米</t>
        </r>
        <r>
          <rPr>
            <sz val="11"/>
            <color rgb="FF000000"/>
            <rFont val="Calibri"/>
            <family val="2"/>
          </rPr>
          <t xml:space="preserve">, </t>
        </r>
        <r>
          <rPr>
            <sz val="11"/>
            <color rgb="FF000000"/>
            <rFont val="Calibri"/>
            <family val="2"/>
          </rPr>
          <t>むしまい</t>
        </r>
        <r>
          <rPr>
            <sz val="11"/>
            <color rgb="FF000000"/>
            <rFont val="Calibri"/>
            <family val="2"/>
          </rPr>
          <t>) are calculated.</t>
        </r>
      </text>
    </comment>
    <comment ref="B5" authorId="0" shapeId="0" xr:uid="{00000000-0006-0000-0100-000003000000}">
      <text>
        <r>
          <rPr>
            <sz val="11"/>
            <color theme="1"/>
            <rFont val="Calibri"/>
            <family val="2"/>
            <scheme val="minor"/>
          </rPr>
          <t>Recipe Preset (レシピ)
Select recipe preset to auto-fill ratios and parameters.
Presets define:
  Koji % (麹歩合, こうじぶあい)
  Water ratio (汲水歩合, くみみずぶあい)
  Stage allocations (仕込配合, しこみはいごう)
  Moto % (酛歩合, もとぶあい)
Custom allows manual entry of all parameters.
Standard_NRIB uses research institute (醸造研究所, じょうぞうけんきゅうしょ) baseline ratios.</t>
        </r>
      </text>
    </comment>
    <comment ref="B6" authorId="0" shapeId="0" xr:uid="{00000000-0006-0000-0100-000004000000}">
      <text>
        <r>
          <rPr>
            <sz val="11"/>
            <color theme="1"/>
            <rFont val="Calibri"/>
            <family val="2"/>
            <scheme val="minor"/>
          </rPr>
          <t>Toji: Moto type is now selected on the Plan sheet for easier workflow management. Navigate to Plan sheet, MOTO PLAN section.</t>
        </r>
      </text>
    </comment>
    <comment ref="B7" authorId="0" shapeId="0" xr:uid="{00000000-0006-0000-0100-000005000000}">
      <text>
        <r>
          <rPr>
            <sz val="11"/>
            <color theme="1"/>
            <rFont val="Calibri"/>
            <family val="2"/>
            <scheme val="minor"/>
          </rPr>
          <t>Koji Strain (麹菌, こうじきん)
Koji mold strain affects enzyme profile and sake character.
Yellow (黄麹, きこうじ): Standard sake, balanced enzymes
White (白麹, しろこうじ): Higher citric acid, clean profile
Black (黒麹, くろこうじ): Shochu-style, very high acid
Different suppliers (種麹屋, たねこうじや) have distinct characteristics.</t>
        </r>
      </text>
    </comment>
    <comment ref="B8" authorId="0" shapeId="0" xr:uid="{00000000-0006-0000-0100-000006000000}">
      <text>
        <r>
          <rPr>
            <sz val="11"/>
            <color theme="1"/>
            <rFont val="Calibri"/>
            <family val="2"/>
            <scheme val="minor"/>
          </rPr>
          <t>Koji Style (破精, はぜ)
Koji growth pattern target.
Tsuki-haze (突きハゼ つきはぜ): Spotted penetration, for ginjo (吟醸, ぎんじょう)
Sō-haze (総ハゼ そうはぜ): Full coverage, for junmai (純米, じゅんまい)
Nuri-haze (塗りハゼ ぬりはぜ): Surface only - defect (欠点, けってん)
Affects enzyme balance and sake body.</t>
        </r>
      </text>
    </comment>
    <comment ref="A9" authorId="0" shapeId="0" xr:uid="{00000000-0006-0000-0100-000007000000}">
      <text>
        <r>
          <rPr>
            <sz val="11"/>
            <color theme="1"/>
            <rFont val="Calibri"/>
            <family val="2"/>
            <scheme val="minor"/>
          </rPr>
          <t>Rice Lots (原料米, げんりょうまい)
Track up to 4 different rice sources.
Different lots may have different:
  Absorption rates (吸水率, きゅうすいりつ)
  Protein content (蛋白質, たんぱくしつ)
  Optimal soak times (浸漬時間, しんせきじかん)
Test each lot with test soak (試験浸漬, しけんしんせき) before brewing.</t>
        </r>
      </text>
    </comment>
    <comment ref="B10" authorId="0" shapeId="0" xr:uid="{00000000-0006-0000-0100-000008000000}">
      <text>
        <r>
          <rPr>
            <sz val="11"/>
            <color theme="1"/>
            <rFont val="Calibri"/>
            <family val="2"/>
            <scheme val="minor"/>
          </rPr>
          <t>Rice variety selection. Different varieties have different starch content, hardness, and shinpaku characteristics.</t>
        </r>
      </text>
    </comment>
    <comment ref="B11" authorId="0" shapeId="0" xr:uid="{00000000-0006-0000-0100-000009000000}">
      <text>
        <r>
          <rPr>
            <sz val="11"/>
            <color theme="1"/>
            <rFont val="Calibri"/>
            <family val="2"/>
            <scheme val="minor"/>
          </rPr>
          <t>Rice Variety (品種, ひんしゅ)
Rice variety significantly affects sake character.
Yamada Nishiki (山田錦, やまだにしき): King of sake rice, large shinpaku (心白, しんぱく)
Gohyakumangoku (五百万石, ごひゃくまんごく): Clean, light style
Omachi (雄町, おまち): Rich, full-bodied
Miyama Nishiki (美山錦, みやまにしき): Cold-region variety
Sake rice (酒造好適米, しゅぞうこうてきまい) has larger starch core (心白, しんぱく).</t>
        </r>
      </text>
    </comment>
    <comment ref="C11" authorId="0" shapeId="0" xr:uid="{00000000-0006-0000-0100-00000A000000}">
      <text>
        <r>
          <rPr>
            <sz val="11"/>
            <color theme="1"/>
            <rFont val="Calibri"/>
            <family val="2"/>
            <scheme val="minor"/>
          </rPr>
          <t>Polish Ratio (精米歩合, せいまいぶあい)
Remaining rice percentage after polishing.
70%: Junmai (純米, じゅんまい) / Honjozo (本醸造, ほんじょうぞう) minimum
60%: Ginjo (吟醸, ぎんじょう) grade
50%: Daiginjo (大吟醸, だいぎんじょう) grade
35-40%: Ultra-premium (超特選, ちょうとくせん)
Lower % = more polished = less protein (蛋白質, たんぱくしつ) / fat (脂質, ししつ).</t>
        </r>
      </text>
    </comment>
    <comment ref="D11" authorId="0" shapeId="0" xr:uid="{00000000-0006-0000-0100-00000B000000}">
      <text>
        <r>
          <rPr>
            <sz val="11"/>
            <color theme="1"/>
            <rFont val="Calibri"/>
            <family val="2"/>
            <scheme val="minor"/>
          </rPr>
          <t>Batch ID (ロット番号 ろっとばんごう)
Links rice lot to specific brew.
Use for traceability and QC (品質管理, ひんしつかんり).
Format suggestion: YYMMDD-LOT
Example: 241215-A</t>
        </r>
      </text>
    </comment>
    <comment ref="B12" authorId="0" shapeId="0" xr:uid="{00000000-0006-0000-0100-00000C000000}">
      <text>
        <r>
          <rPr>
            <sz val="11"/>
            <color theme="1"/>
            <rFont val="Calibri"/>
            <family val="2"/>
            <scheme val="minor"/>
          </rPr>
          <t>Rice variety for Lot B.</t>
        </r>
      </text>
    </comment>
    <comment ref="C12" authorId="0" shapeId="0" xr:uid="{00000000-0006-0000-0100-00000D000000}">
      <text>
        <r>
          <rPr>
            <sz val="11"/>
            <color theme="1"/>
            <rFont val="Calibri"/>
            <family val="2"/>
            <scheme val="minor"/>
          </rPr>
          <t>Polish rate for Lot B.</t>
        </r>
      </text>
    </comment>
    <comment ref="D12" authorId="0" shapeId="0" xr:uid="{00000000-0006-0000-0100-00000E000000}">
      <text>
        <r>
          <rPr>
            <sz val="11"/>
            <color theme="1"/>
            <rFont val="Calibri"/>
            <family val="2"/>
            <scheme val="minor"/>
          </rPr>
          <t>Batch ID for Lot B.</t>
        </r>
      </text>
    </comment>
    <comment ref="B13" authorId="0" shapeId="0" xr:uid="{00000000-0006-0000-0100-00000F000000}">
      <text>
        <r>
          <rPr>
            <sz val="11"/>
            <color theme="1"/>
            <rFont val="Calibri"/>
            <family val="2"/>
            <scheme val="minor"/>
          </rPr>
          <t>Rice variety for Lot C.</t>
        </r>
      </text>
    </comment>
    <comment ref="C13" authorId="0" shapeId="0" xr:uid="{00000000-0006-0000-0100-000010000000}">
      <text>
        <r>
          <rPr>
            <sz val="11"/>
            <color theme="1"/>
            <rFont val="Calibri"/>
            <family val="2"/>
            <scheme val="minor"/>
          </rPr>
          <t>Polish rate for Lot C.</t>
        </r>
      </text>
    </comment>
    <comment ref="D13" authorId="0" shapeId="0" xr:uid="{00000000-0006-0000-0100-000011000000}">
      <text>
        <r>
          <rPr>
            <sz val="11"/>
            <color theme="1"/>
            <rFont val="Calibri"/>
            <family val="2"/>
            <scheme val="minor"/>
          </rPr>
          <t>Batch ID for Lot C.</t>
        </r>
      </text>
    </comment>
    <comment ref="B14" authorId="0" shapeId="0" xr:uid="{00000000-0006-0000-0100-000012000000}">
      <text>
        <r>
          <rPr>
            <sz val="11"/>
            <color theme="1"/>
            <rFont val="Calibri"/>
            <family val="2"/>
            <scheme val="minor"/>
          </rPr>
          <t>Rice variety for Lot D.</t>
        </r>
      </text>
    </comment>
    <comment ref="C14" authorId="0" shapeId="0" xr:uid="{00000000-0006-0000-0100-000013000000}">
      <text>
        <r>
          <rPr>
            <sz val="11"/>
            <color theme="1"/>
            <rFont val="Calibri"/>
            <family val="2"/>
            <scheme val="minor"/>
          </rPr>
          <t>Polish rate for Lot D.</t>
        </r>
      </text>
    </comment>
    <comment ref="D14" authorId="0" shapeId="0" xr:uid="{00000000-0006-0000-0100-000014000000}">
      <text>
        <r>
          <rPr>
            <sz val="11"/>
            <color theme="1"/>
            <rFont val="Calibri"/>
            <family val="2"/>
            <scheme val="minor"/>
          </rPr>
          <t>Batch ID for Lot D.</t>
        </r>
      </text>
    </comment>
    <comment ref="B17" authorId="0" shapeId="0" xr:uid="{00000000-0006-0000-0100-000015000000}">
      <text>
        <r>
          <rPr>
            <sz val="11"/>
            <color theme="1"/>
            <rFont val="Calibri"/>
            <family val="2"/>
            <scheme val="minor"/>
          </rPr>
          <t>Primary lot. Auto-fills based on first defined lot. If you use dropdown to override, formula is replaced with your selection.</t>
        </r>
      </text>
    </comment>
    <comment ref="C17" authorId="0" shapeId="0" xr:uid="{00000000-0006-0000-0100-000016000000}">
      <text>
        <r>
          <rPr>
            <sz val="11"/>
            <color theme="1"/>
            <rFont val="Calibri"/>
            <family val="2"/>
            <scheme val="minor"/>
          </rPr>
          <t>Primary lot %. Enter value here; Lot 2 % auto-calculates to maintain 100% total.</t>
        </r>
      </text>
    </comment>
    <comment ref="D17" authorId="0" shapeId="0" xr:uid="{00000000-0006-0000-0100-000017000000}">
      <text>
        <r>
          <rPr>
            <sz val="11"/>
            <color theme="1"/>
            <rFont val="Calibri"/>
            <family val="2"/>
            <scheme val="minor"/>
          </rPr>
          <t>Optional secondary lot. Must be different from primary lot. Cell turns RED if same lot selected.</t>
        </r>
      </text>
    </comment>
    <comment ref="E17" authorId="0" shapeId="0" xr:uid="{00000000-0006-0000-0100-000018000000}">
      <text>
        <r>
          <rPr>
            <sz val="11"/>
            <color theme="1"/>
            <rFont val="Calibri"/>
            <family val="2"/>
            <scheme val="minor"/>
          </rPr>
          <t>Auto-calculated: 100 - primary %. Do not edit.</t>
        </r>
      </text>
    </comment>
    <comment ref="B18" authorId="0" shapeId="0" xr:uid="{00000000-0006-0000-0100-000019000000}">
      <text>
        <r>
          <rPr>
            <sz val="11"/>
            <color theme="1"/>
            <rFont val="Calibri"/>
            <family val="2"/>
            <scheme val="minor"/>
          </rPr>
          <t>Select which rice lot to use for Kojimai. Default is Lot A.</t>
        </r>
      </text>
    </comment>
    <comment ref="C18" authorId="0" shapeId="0" xr:uid="{00000000-0006-0000-0100-00001A000000}">
      <text>
        <r>
          <rPr>
            <sz val="11"/>
            <color theme="1"/>
            <rFont val="Calibri"/>
            <family val="2"/>
            <scheme val="minor"/>
          </rPr>
          <t>% of Kojimai from primary lot. Change to split between lots.</t>
        </r>
      </text>
    </comment>
    <comment ref="D18" authorId="0" shapeId="0" xr:uid="{00000000-0006-0000-0100-00001B000000}">
      <text>
        <r>
          <rPr>
            <sz val="11"/>
            <color theme="1"/>
            <rFont val="Calibri"/>
            <family val="2"/>
            <scheme val="minor"/>
          </rPr>
          <t>Select second lot for Kojimai blend.</t>
        </r>
      </text>
    </comment>
    <comment ref="E18" authorId="0" shapeId="0" xr:uid="{00000000-0006-0000-0100-00001C000000}">
      <text>
        <r>
          <rPr>
            <sz val="11"/>
            <color theme="1"/>
            <rFont val="Calibri"/>
            <family val="2"/>
            <scheme val="minor"/>
          </rPr>
          <t>Percentage from secondary lot. Primary + Secondary should = 100%.</t>
        </r>
      </text>
    </comment>
    <comment ref="B19" authorId="0" shapeId="0" xr:uid="{00000000-0006-0000-0100-00001D000000}">
      <text>
        <r>
          <rPr>
            <sz val="11"/>
            <color theme="1"/>
            <rFont val="Calibri"/>
            <family val="2"/>
            <scheme val="minor"/>
          </rPr>
          <t>Select which rice lot to use for Moto raw. Default is Lot A.</t>
        </r>
      </text>
    </comment>
    <comment ref="C19" authorId="0" shapeId="0" xr:uid="{00000000-0006-0000-0100-00001E000000}">
      <text>
        <r>
          <rPr>
            <sz val="11"/>
            <color theme="1"/>
            <rFont val="Calibri"/>
            <family val="2"/>
            <scheme val="minor"/>
          </rPr>
          <t>% of Moto raw from primary lot. Change to split between lots.</t>
        </r>
      </text>
    </comment>
    <comment ref="D19" authorId="0" shapeId="0" xr:uid="{00000000-0006-0000-0100-00001F000000}">
      <text>
        <r>
          <rPr>
            <sz val="11"/>
            <color theme="1"/>
            <rFont val="Calibri"/>
            <family val="2"/>
            <scheme val="minor"/>
          </rPr>
          <t>Select second lot for Moto raw blend.</t>
        </r>
      </text>
    </comment>
    <comment ref="E19" authorId="0" shapeId="0" xr:uid="{00000000-0006-0000-0100-000020000000}">
      <text>
        <r>
          <rPr>
            <sz val="11"/>
            <color theme="1"/>
            <rFont val="Calibri"/>
            <family val="2"/>
            <scheme val="minor"/>
          </rPr>
          <t>Percentage from secondary lot. Primary + Secondary should = 100%.</t>
        </r>
      </text>
    </comment>
    <comment ref="B20" authorId="0" shapeId="0" xr:uid="{00000000-0006-0000-0100-000021000000}">
      <text>
        <r>
          <rPr>
            <sz val="11"/>
            <color theme="1"/>
            <rFont val="Calibri"/>
            <family val="2"/>
            <scheme val="minor"/>
          </rPr>
          <t>Select which rice lot to use for Moto steamed. Default is Lot A.</t>
        </r>
      </text>
    </comment>
    <comment ref="C20" authorId="0" shapeId="0" xr:uid="{00000000-0006-0000-0100-000022000000}">
      <text>
        <r>
          <rPr>
            <sz val="11"/>
            <color theme="1"/>
            <rFont val="Calibri"/>
            <family val="2"/>
            <scheme val="minor"/>
          </rPr>
          <t>% of Moto steamed from primary lot. Change to split between lots.</t>
        </r>
      </text>
    </comment>
    <comment ref="D20" authorId="0" shapeId="0" xr:uid="{00000000-0006-0000-0100-000023000000}">
      <text>
        <r>
          <rPr>
            <sz val="11"/>
            <color theme="1"/>
            <rFont val="Calibri"/>
            <family val="2"/>
            <scheme val="minor"/>
          </rPr>
          <t>Select second lot for Moto steamed blend.</t>
        </r>
      </text>
    </comment>
    <comment ref="E20" authorId="0" shapeId="0" xr:uid="{00000000-0006-0000-0100-000024000000}">
      <text>
        <r>
          <rPr>
            <sz val="11"/>
            <color theme="1"/>
            <rFont val="Calibri"/>
            <family val="2"/>
            <scheme val="minor"/>
          </rPr>
          <t>Percentage from secondary lot. Primary + Secondary should = 100%.</t>
        </r>
      </text>
    </comment>
    <comment ref="B21" authorId="0" shapeId="0" xr:uid="{00000000-0006-0000-0100-000025000000}">
      <text>
        <r>
          <rPr>
            <sz val="11"/>
            <color theme="1"/>
            <rFont val="Calibri"/>
            <family val="2"/>
            <scheme val="minor"/>
          </rPr>
          <t>Select which rice lot to use for Soe. Default is Lot A.</t>
        </r>
      </text>
    </comment>
    <comment ref="C21" authorId="0" shapeId="0" xr:uid="{00000000-0006-0000-0100-000026000000}">
      <text>
        <r>
          <rPr>
            <sz val="11"/>
            <color theme="1"/>
            <rFont val="Calibri"/>
            <family val="2"/>
            <scheme val="minor"/>
          </rPr>
          <t>% of Soe from primary lot. Change to split between lots.</t>
        </r>
      </text>
    </comment>
    <comment ref="D21" authorId="0" shapeId="0" xr:uid="{00000000-0006-0000-0100-000027000000}">
      <text>
        <r>
          <rPr>
            <sz val="11"/>
            <color theme="1"/>
            <rFont val="Calibri"/>
            <family val="2"/>
            <scheme val="minor"/>
          </rPr>
          <t>Select second lot for Soe blend.</t>
        </r>
      </text>
    </comment>
    <comment ref="E21" authorId="0" shapeId="0" xr:uid="{00000000-0006-0000-0100-000028000000}">
      <text>
        <r>
          <rPr>
            <sz val="11"/>
            <color theme="1"/>
            <rFont val="Calibri"/>
            <family val="2"/>
            <scheme val="minor"/>
          </rPr>
          <t>Percentage from secondary lot. Primary + Secondary should = 100%.</t>
        </r>
      </text>
    </comment>
    <comment ref="B22" authorId="0" shapeId="0" xr:uid="{00000000-0006-0000-0100-000029000000}">
      <text>
        <r>
          <rPr>
            <sz val="11"/>
            <color theme="1"/>
            <rFont val="Calibri"/>
            <family val="2"/>
            <scheme val="minor"/>
          </rPr>
          <t>Select which rice lot to use for Naka. Default is Lot A.</t>
        </r>
      </text>
    </comment>
    <comment ref="C22" authorId="0" shapeId="0" xr:uid="{00000000-0006-0000-0100-00002A000000}">
      <text>
        <r>
          <rPr>
            <sz val="11"/>
            <color theme="1"/>
            <rFont val="Calibri"/>
            <family val="2"/>
            <scheme val="minor"/>
          </rPr>
          <t>% of Naka from primary lot. Change to split between lots.</t>
        </r>
      </text>
    </comment>
    <comment ref="D22" authorId="0" shapeId="0" xr:uid="{00000000-0006-0000-0100-00002B000000}">
      <text>
        <r>
          <rPr>
            <sz val="11"/>
            <color theme="1"/>
            <rFont val="Calibri"/>
            <family val="2"/>
            <scheme val="minor"/>
          </rPr>
          <t>Select second lot for Naka blend.</t>
        </r>
      </text>
    </comment>
    <comment ref="E22" authorId="0" shapeId="0" xr:uid="{00000000-0006-0000-0100-00002C000000}">
      <text>
        <r>
          <rPr>
            <sz val="11"/>
            <color theme="1"/>
            <rFont val="Calibri"/>
            <family val="2"/>
            <scheme val="minor"/>
          </rPr>
          <t>Percentage from secondary lot. Primary + Secondary should = 100%.</t>
        </r>
      </text>
    </comment>
    <comment ref="B23" authorId="0" shapeId="0" xr:uid="{00000000-0006-0000-0100-00002D000000}">
      <text>
        <r>
          <rPr>
            <sz val="11"/>
            <color theme="1"/>
            <rFont val="Calibri"/>
            <family val="2"/>
            <scheme val="minor"/>
          </rPr>
          <t>Select which rice lot to use for Tome. Default is Lot A.</t>
        </r>
      </text>
    </comment>
    <comment ref="C23" authorId="0" shapeId="0" xr:uid="{00000000-0006-0000-0100-00002E000000}">
      <text>
        <r>
          <rPr>
            <sz val="11"/>
            <color theme="1"/>
            <rFont val="Calibri"/>
            <family val="2"/>
            <scheme val="minor"/>
          </rPr>
          <t>% of Tome from primary lot. Change to split between lots.</t>
        </r>
      </text>
    </comment>
    <comment ref="D23" authorId="0" shapeId="0" xr:uid="{00000000-0006-0000-0100-00002F000000}">
      <text>
        <r>
          <rPr>
            <sz val="11"/>
            <color theme="1"/>
            <rFont val="Calibri"/>
            <family val="2"/>
            <scheme val="minor"/>
          </rPr>
          <t>Select second lot for Tome blend.</t>
        </r>
      </text>
    </comment>
    <comment ref="E23" authorId="0" shapeId="0" xr:uid="{00000000-0006-0000-0100-000030000000}">
      <text>
        <r>
          <rPr>
            <sz val="11"/>
            <color theme="1"/>
            <rFont val="Calibri"/>
            <family val="2"/>
            <scheme val="minor"/>
          </rPr>
          <t>Percentage from secondary lot. Primary + Secondary should = 100%.</t>
        </r>
      </text>
    </comment>
    <comment ref="B24" authorId="0" shapeId="0" xr:uid="{00000000-0006-0000-0100-000031000000}">
      <text>
        <r>
          <rPr>
            <sz val="11"/>
            <color theme="1"/>
            <rFont val="Calibri"/>
            <family val="2"/>
            <scheme val="minor"/>
          </rPr>
          <t>Select which rice lot to use for Yondan. Default is Lot A.</t>
        </r>
      </text>
    </comment>
    <comment ref="C24" authorId="0" shapeId="0" xr:uid="{00000000-0006-0000-0100-000032000000}">
      <text>
        <r>
          <rPr>
            <sz val="11"/>
            <color theme="1"/>
            <rFont val="Calibri"/>
            <family val="2"/>
            <scheme val="minor"/>
          </rPr>
          <t>% of Yondan from primary lot. Change to split between lots.</t>
        </r>
      </text>
    </comment>
    <comment ref="D24" authorId="0" shapeId="0" xr:uid="{00000000-0006-0000-0100-000033000000}">
      <text>
        <r>
          <rPr>
            <sz val="11"/>
            <color theme="1"/>
            <rFont val="Calibri"/>
            <family val="2"/>
            <scheme val="minor"/>
          </rPr>
          <t>Select second lot for Yondan blend.</t>
        </r>
      </text>
    </comment>
    <comment ref="E24" authorId="0" shapeId="0" xr:uid="{00000000-0006-0000-0100-000034000000}">
      <text>
        <r>
          <rPr>
            <sz val="11"/>
            <color theme="1"/>
            <rFont val="Calibri"/>
            <family val="2"/>
            <scheme val="minor"/>
          </rPr>
          <t>Percentage from secondary lot. Primary + Secondary should = 100%.</t>
        </r>
      </text>
    </comment>
    <comment ref="A26" authorId="0" shapeId="0" xr:uid="{00000000-0006-0000-0100-000035000000}">
      <text>
        <r>
          <rPr>
            <sz val="11"/>
            <color theme="1"/>
            <rFont val="Calibri"/>
            <family val="2"/>
            <scheme val="minor"/>
          </rPr>
          <t>計算結果 (Keisan Kekka) - Calculated Totals
All values derived from inputs above.
Verify before 仕込み brewing begins.</t>
        </r>
      </text>
    </comment>
    <comment ref="B27" authorId="0" shapeId="0" xr:uid="{00000000-0006-0000-0100-000036000000}">
      <text>
        <r>
          <rPr>
            <sz val="11"/>
            <color theme="1"/>
            <rFont val="Calibri"/>
            <family val="2"/>
            <scheme val="minor"/>
          </rPr>
          <t>掛米総量 - Total rice verification.
Should match B4. Check for errors if different.</t>
        </r>
      </text>
    </comment>
    <comment ref="B28" authorId="0" shapeId="0" xr:uid="{00000000-0006-0000-0100-000037000000}">
      <text>
        <r>
          <rPr>
            <sz val="11"/>
            <color theme="1"/>
            <rFont val="Calibri"/>
            <family val="2"/>
            <scheme val="minor"/>
          </rPr>
          <t>Total Koji Rice (麹米, こうじまい)
Typically 20-25% of total rice (総米, そうまい).
This rice becomes koji (麹, こうじ) - inoculated with mold (麹菌, こうじきん).
Remaining rice is kake-mai (掛米, かけまい) - steamed rice additions.</t>
        </r>
      </text>
    </comment>
    <comment ref="B29" authorId="0" shapeId="0" xr:uid="{00000000-0006-0000-0100-000038000000}">
      <text>
        <r>
          <rPr>
            <sz val="11"/>
            <color theme="1"/>
            <rFont val="Calibri"/>
            <family val="2"/>
            <scheme val="minor"/>
          </rPr>
          <t>Total Water (仕込水, しこみみず)
Water ratio (汲水歩合, くみみずぶあい) typically 1.2-1.4 L per kg rice.
Includes moto water (酛水, もとみず) and moromi water (醪水, もろみみず).
Excludes washing (洗米, せんまい) / soaking (浸漬, しんせき) water.</t>
        </r>
      </text>
    </comment>
    <comment ref="B30" authorId="0" shapeId="0" xr:uid="{00000000-0006-0000-0100-000039000000}">
      <text>
        <r>
          <rPr>
            <sz val="11"/>
            <color theme="1"/>
            <rFont val="Calibri"/>
            <family val="2"/>
            <scheme val="minor"/>
          </rPr>
          <t>醪総量 (Moromi Sōryō) - Total Mash Mass
蒸米 + 麹 + 水 combined weight.
Used for 容器 vessel sizing.</t>
        </r>
      </text>
    </comment>
    <comment ref="B31" authorId="0" shapeId="0" xr:uid="{00000000-0006-0000-0100-00003A000000}">
      <text>
        <r>
          <rPr>
            <sz val="11"/>
            <color theme="1"/>
            <rFont val="Calibri"/>
            <family val="2"/>
            <scheme val="minor"/>
          </rPr>
          <t>理論容量 - Theoretical Volume
Based on 醪 mass ÷ density (0.95 kg/L).
Actual tank needs 2× for 泡 foam!</t>
        </r>
      </text>
    </comment>
    <comment ref="B32" authorId="0" shapeId="0" xr:uid="{00000000-0006-0000-0100-00003B000000}">
      <text>
        <r>
          <rPr>
            <sz val="11"/>
            <color theme="1"/>
            <rFont val="Calibri"/>
            <family val="2"/>
            <scheme val="minor"/>
          </rPr>
          <t>推奨タンク容量 - Recommended Tank
Includes 30% safety for 高泡 (taka-awa).
High foam can double volume briefly.
余裕を持って size up!</t>
        </r>
      </text>
    </comment>
    <comment ref="B33" authorId="0" shapeId="0" xr:uid="{00000000-0006-0000-0100-00003C000000}">
      <text>
        <r>
          <rPr>
            <sz val="11"/>
            <color theme="1"/>
            <rFont val="Calibri"/>
            <family val="2"/>
            <scheme val="minor"/>
          </rPr>
          <t>Water to rice ratio (typically 1.2-1.4).</t>
        </r>
      </text>
    </comment>
    <comment ref="A34" authorId="0" shapeId="0" xr:uid="{00000000-0006-0000-0100-00003D000000}">
      <text>
        <r>
          <rPr>
            <sz val="11"/>
            <color theme="1"/>
            <rFont val="Calibri"/>
            <family val="2"/>
            <scheme val="minor"/>
          </rPr>
          <t>Estimated mash volume for container sizing</t>
        </r>
      </text>
    </comment>
    <comment ref="B34" authorId="0" shapeId="0" xr:uid="{00000000-0006-0000-0100-00003E000000}">
      <text>
        <r>
          <rPr>
            <sz val="11"/>
            <color theme="1"/>
            <rFont val="Calibri"/>
            <family val="2"/>
            <scheme val="minor"/>
          </rPr>
          <t>Mash Volume (醪容量, もろみようりょう)
Theoretical moromi (醪, もろみ) volume before pressing (上槽, じょうそう).
Calculated from: steamed rice (蒸米, むしまい) + koji (麹, こうじ) + water (水, みず)
Density (密度, みつど) assumed: 0.95 kg/L
Actual may vary based on rice dissolution.</t>
        </r>
      </text>
    </comment>
    <comment ref="A35" authorId="0" shapeId="0" xr:uid="{00000000-0006-0000-0100-00003F000000}">
      <text>
        <r>
          <rPr>
            <sz val="11"/>
            <color theme="1"/>
            <rFont val="Calibri"/>
            <family val="2"/>
            <scheme val="minor"/>
          </rPr>
          <t>NRIB-based: 1.80 L per kg polished rice × press efficiency</t>
        </r>
      </text>
    </comment>
    <comment ref="B35" authorId="0" shapeId="0" xr:uid="{00000000-0006-0000-0100-000040000000}">
      <text>
        <r>
          <rPr>
            <sz val="11"/>
            <color theme="1"/>
            <rFont val="Calibri"/>
            <family val="2"/>
            <scheme val="minor"/>
          </rPr>
          <t>Raw Sake Yield (原酒収得量, げんしゅしゅとくりょう)
Expected sake yield after pressing (上槽, じょうそう).
Based on press method efficiency (歩留り ぶどまり):
Shizuku (雫, しずく) drip: ~55%
Fune (槽, ふね) traditional: 63-73%
Yabuta (藪田, やぶた) machine: ~90%
Multiply by dilution factor for final volume.</t>
        </r>
      </text>
    </comment>
    <comment ref="A36" authorId="0" shapeId="0" xr:uid="{00000000-0006-0000-0100-000041000000}">
      <text>
        <r>
          <rPr>
            <sz val="11"/>
            <color theme="1"/>
            <rFont val="Calibri"/>
            <family val="2"/>
            <scheme val="minor"/>
          </rPr>
          <t>Select pressing method. Affects yield calculation.</t>
        </r>
      </text>
    </comment>
    <comment ref="B36" authorId="0" shapeId="0" xr:uid="{00000000-0006-0000-0100-000042000000}">
      <text>
        <r>
          <rPr>
            <sz val="11"/>
            <color theme="1"/>
            <rFont val="Calibri"/>
            <family val="2"/>
            <scheme val="minor"/>
          </rPr>
          <t>Press Method (上槽方法, じょうそうほうほう)
Pressing method affects yield and quality.
Shizuku (雫酒, しずくざけ): Gravity drip, premium (最高級, さいこうきゅう), lowest yield
Fune-shibori (槽搾り ふねしぼり): Traditional box press, good balance
Yabuta (藪田式, やぶたしき): Accordion machine, high efficiency
Premium sake often uses gentler low-pressure (低圧, ていあつ) methods.</t>
        </r>
      </text>
    </comment>
    <comment ref="A37" authorId="0" shapeId="0" xr:uid="{00000000-0006-0000-0100-000043000000}">
      <text>
        <r>
          <rPr>
            <sz val="11"/>
            <color theme="1"/>
            <rFont val="Calibri"/>
            <family val="2"/>
            <scheme val="minor"/>
          </rPr>
          <t>Estimated yield if diluted to standard 15% ABV</t>
        </r>
      </text>
    </comment>
    <comment ref="B37" authorId="0" shapeId="0" xr:uid="{00000000-0006-0000-0100-000044000000}">
      <text>
        <r>
          <rPr>
            <sz val="11"/>
            <color theme="1"/>
            <rFont val="Calibri"/>
            <family val="2"/>
            <scheme val="minor"/>
          </rPr>
          <t>Diluted Yield (製品量, せいひんりょう) @15%
Genshu (原酒, げんしゅ) typically 17-20% ABV.
Warimizu (割水, わりみず) diluted to 15% for standard serving strength.
Actual dilution ratio varies by genshu (原酒, げんしゅ) strength.</t>
        </r>
      </text>
    </comment>
    <comment ref="A38" authorId="0" shapeId="0" xr:uid="{00000000-0006-0000-0100-000045000000}">
      <text>
        <r>
          <rPr>
            <sz val="11"/>
            <color theme="1"/>
            <rFont val="Calibri"/>
            <family val="2"/>
            <scheme val="minor"/>
          </rPr>
          <t>Stage Breakdown (仕込配合, しこみはいごう)
Sandan-jikomi (三段仕込み さんだんじこみ) three-stage allocation:
Soe (添, そえ) → Odori (踊, おどり) → Naka (仲, なか) → Tome (留, とめ)
Optional: Yondan (四段, よだん) fourth addition.</t>
        </r>
      </text>
    </comment>
    <comment ref="A39" authorId="0" shapeId="0" xr:uid="{00000000-0006-0000-0100-000046000000}">
      <text>
        <r>
          <rPr>
            <sz val="11"/>
            <color theme="1"/>
            <rFont val="Calibri"/>
            <family val="2"/>
            <scheme val="minor"/>
          </rPr>
          <t>Brewing stage name.</t>
        </r>
      </text>
    </comment>
    <comment ref="A40" authorId="0" shapeId="0" xr:uid="{00000000-0006-0000-0100-000047000000}">
      <text>
        <r>
          <rPr>
            <sz val="11"/>
            <color theme="1"/>
            <rFont val="Calibri"/>
            <family val="2"/>
            <scheme val="minor"/>
          </rPr>
          <t>Moto (酛, もと) / Shubo (酒母, しゅぼ) - Yeast Starter
Typically 6-10% of total rice (総米, そうまい).
Higher % = more robust fermentation start.
Kimoto (生酛, きもと) / Yamahai (山廃, やまはい) use ~7-10%
Sokujo (速醸, そくじょう) uses ~6-7%</t>
        </r>
      </text>
    </comment>
    <comment ref="B40" authorId="0" shapeId="0" xr:uid="{00000000-0006-0000-0100-000048000000}">
      <text>
        <r>
          <rPr>
            <sz val="11"/>
            <color rgb="FF000000"/>
            <rFont val="Calibri"/>
            <family val="2"/>
          </rPr>
          <t xml:space="preserve">Lot assignment for Moto stage.
</t>
        </r>
        <r>
          <rPr>
            <sz val="11"/>
            <color rgb="FF000000"/>
            <rFont val="Calibri"/>
            <family val="2"/>
          </rPr>
          <t xml:space="preserve">
</t>
        </r>
        <r>
          <rPr>
            <sz val="11"/>
            <color rgb="FF000000"/>
            <rFont val="Calibri"/>
            <family val="2"/>
          </rPr>
          <t xml:space="preserve">If moto raw and moto steamed use different lots:
</t>
        </r>
        <r>
          <rPr>
            <sz val="11"/>
            <color rgb="FF000000"/>
            <rFont val="Calibri"/>
            <family val="2"/>
          </rPr>
          <t xml:space="preserve">  Shows "Steam: Lot A / Soak: Lot B"
</t>
        </r>
        <r>
          <rPr>
            <sz val="11"/>
            <color rgb="FF000000"/>
            <rFont val="Calibri"/>
            <family val="2"/>
          </rPr>
          <t xml:space="preserve">
</t>
        </r>
        <r>
          <rPr>
            <sz val="11"/>
            <color rgb="FF000000"/>
            <rFont val="Calibri"/>
            <family val="2"/>
          </rPr>
          <t xml:space="preserve">If same lot for both (or no raw rice):
</t>
        </r>
        <r>
          <rPr>
            <sz val="11"/>
            <color rgb="FF000000"/>
            <rFont val="Calibri"/>
            <family val="2"/>
          </rPr>
          <t xml:space="preserve">  Shows single lot like "Lot A (Yama 90%)"
</t>
        </r>
        <r>
          <rPr>
            <sz val="11"/>
            <color rgb="FF000000"/>
            <rFont val="Calibri"/>
            <family val="2"/>
          </rPr>
          <t xml:space="preserve">
</t>
        </r>
        <r>
          <rPr>
            <sz val="11"/>
            <color rgb="FF000000"/>
            <rFont val="Calibri"/>
            <family val="2"/>
          </rPr>
          <t>Soak rice = for mizu/bodaimoto methods.</t>
        </r>
      </text>
    </comment>
    <comment ref="C40" authorId="0" shapeId="0" xr:uid="{00000000-0006-0000-0100-000049000000}">
      <text>
        <r>
          <rPr>
            <sz val="11"/>
            <color theme="1"/>
            <rFont val="Calibri"/>
            <family val="2"/>
            <scheme val="minor"/>
          </rPr>
          <t>麹配合 (Kōji Haigō) - Koji per Stage
酛: highest ratio (~30% of 酛米)
醪 stages: ~20-25% of stage rice
Higher 麹 = more enzyme power.</t>
        </r>
      </text>
    </comment>
    <comment ref="D40" authorId="0" shapeId="0" xr:uid="{00000000-0006-0000-0100-00004A000000}">
      <text>
        <r>
          <rPr>
            <sz val="11"/>
            <color theme="1"/>
            <rFont val="Calibri"/>
            <family val="2"/>
            <scheme val="minor"/>
          </rPr>
          <t>水配合 (Mizu Haigō) - Water per Stage
汲水歩合 varies by stage/method:
酛: ~1.0-1.2× rice
醪: calculated per preset</t>
        </r>
      </text>
    </comment>
    <comment ref="E40" authorId="0" shapeId="0" xr:uid="{00000000-0006-0000-0100-00004B000000}">
      <text>
        <r>
          <rPr>
            <sz val="11"/>
            <color theme="1"/>
            <rFont val="Calibri"/>
            <family val="2"/>
            <scheme val="minor"/>
          </rPr>
          <t>蒸米量 (Mushi-mai Ryō) - Steamed Rice
掛米 × 1.3 (30% moisture gain).
This is actual weight added to tank.
Verify against 実測値 actual weights.</t>
        </r>
      </text>
    </comment>
    <comment ref="A41" authorId="0" shapeId="0" xr:uid="{00000000-0006-0000-0100-00004C000000}">
      <text>
        <r>
          <rPr>
            <sz val="11"/>
            <color theme="1"/>
            <rFont val="Calibri"/>
            <family val="2"/>
            <scheme val="minor"/>
          </rPr>
          <t>Soe (添, そえ) - First Addition (初添え はつぞえ)
Smallest addition, ~15-17% of moromi rice (醪米, もろみまい).
Added to moto (酛, もと) to begin main fermentation.
Wait 1 day odori (踊り おどり) before naka (仲, なか).</t>
        </r>
      </text>
    </comment>
    <comment ref="A42" authorId="0" shapeId="0" xr:uid="{00000000-0006-0000-0100-00004D000000}">
      <text>
        <r>
          <rPr>
            <sz val="11"/>
            <color theme="1"/>
            <rFont val="Calibri"/>
            <family val="2"/>
            <scheme val="minor"/>
          </rPr>
          <t>Naka (仲, なか) - Middle Addition (仲添え なかぞえ)
Medium addition, ~33% of moromi rice (醪米, もろみまい).
Doubles the batch size.
Added day after odori (踊り おどり) rest.</t>
        </r>
      </text>
    </comment>
    <comment ref="A43" authorId="0" shapeId="0" xr:uid="{00000000-0006-0000-0100-00004E000000}">
      <text>
        <r>
          <rPr>
            <sz val="11"/>
            <color theme="1"/>
            <rFont val="Calibri"/>
            <family val="2"/>
            <scheme val="minor"/>
          </rPr>
          <t>Tome (留, とめ) - Final Addition (留添え とめぞえ)
Largest addition, ~50% of moromi rice (醪米, もろみまい).
Completes sandan-jikomi (三段仕込み さんだんじこみ) 3-stage process.
Fermentation (発酵, はっこう) continues 18-35 days after.</t>
        </r>
      </text>
    </comment>
    <comment ref="A44" authorId="0" shapeId="0" xr:uid="{00000000-0006-0000-0100-00004F000000}">
      <text>
        <r>
          <rPr>
            <sz val="11"/>
            <color theme="1"/>
            <rFont val="Calibri"/>
            <family val="2"/>
            <scheme val="minor"/>
          </rPr>
          <t>Yondan (四段, よだん) - Fourth Addition
Optional addition after main ferment.
Adds sweetness (甘味, あまみ) / body (ボディ).
Can be: koji (麹, こうじ), amazake (甘酒, あまざけ), steamed rice (蒸米, むしまい), or fruit (果物, くだもの).
Common in sweet styles, nigori (濁り にごり), fruit sake.</t>
        </r>
      </text>
    </comment>
    <comment ref="A46" authorId="0" shapeId="0" xr:uid="{00000000-0006-0000-0100-000050000000}">
      <text>
        <r>
          <rPr>
            <sz val="11"/>
            <color theme="1"/>
            <rFont val="Calibri"/>
            <family val="2"/>
            <scheme val="minor"/>
          </rPr>
          <t>Koji Production (製麹, せいぎく)
麹造りは酒造りの心臓部
(こうじづくりはさけづくりのしんぞうぶ)
'Koji-making is the heart of sake-making'
40-50 hour process requiring constant attention.
Quality here determines final sake quality (酒質, しゅしつ).</t>
        </r>
      </text>
    </comment>
    <comment ref="B47" authorId="0" shapeId="0" xr:uid="{00000000-0006-0000-0100-000051000000}">
      <text>
        <r>
          <rPr>
            <sz val="11"/>
            <color theme="1"/>
            <rFont val="Calibri"/>
            <family val="2"/>
            <scheme val="minor"/>
          </rPr>
          <t>Total Koji Production Amount (製麹量, せいぎくりょう)
Calculated from total koji needed across all stages. Typically 20-25% of total rice (総米, そうまい). This drives koji room (麹室, こうじむろ) scheduling and tray/box requirements.</t>
        </r>
      </text>
    </comment>
    <comment ref="B48" authorId="0" shapeId="0" xr:uid="{00000000-0006-0000-0100-000052000000}">
      <text>
        <r>
          <rPr>
            <sz val="11"/>
            <color theme="1"/>
            <rFont val="Calibri"/>
            <family val="2"/>
            <scheme val="minor"/>
          </rPr>
          <t>Koji Rice (麹用米, こうじようまい)
Dry rice weight allocated for koji production (製麹, せいぎく).
Typically 20-25% of total rice (総米, そうまい).
Ginjo (吟醸, ぎんじょう) styles may use slightly more.
This rice is inoculated with tane-koji (種麹, たねこうじ) spores.</t>
        </r>
      </text>
    </comment>
    <comment ref="B49" authorId="0" shapeId="0" xr:uid="{00000000-0006-0000-0100-000053000000}">
      <text>
        <r>
          <rPr>
            <sz val="11"/>
            <color theme="1"/>
            <rFont val="Calibri"/>
            <family val="2"/>
            <scheme val="minor"/>
          </rPr>
          <t>Post-Steam Weight (蒸し上がり重量, むしあがりじゅうりょう)
Target: 140% of dry weight (白米, はくまい).
Should feel gaihannai (外硬内軟) - firm outside, soft inside.
No hard white core (芯, しん) when bitten.
This is the weight AFTER steaming, before any drying.</t>
        </r>
      </text>
    </comment>
    <comment ref="B50" authorId="0" shapeId="0" xr:uid="{00000000-0006-0000-0100-000054000000}">
      <text>
        <r>
          <rPr>
            <sz val="11"/>
            <color theme="1"/>
            <rFont val="Calibri"/>
            <family val="2"/>
            <scheme val="minor"/>
          </rPr>
          <t>Pre-Inoculation Weight (引込後重量, ひきこみごじゅうりょう)
Ueda method only: Target 128-131% of dry weight.
Critical moisture reduction (水分調整) before inoculation.
Spread thin, fan dry at 40°C / &lt;50% RH.
Lower moisture promotes tsuki-haze (突きハゼ) growth pattern.
Standard methods skip this step (use steamed weight directly).</t>
        </r>
      </text>
    </comment>
    <comment ref="B51" authorId="0" shapeId="0" xr:uid="{00000000-0006-0000-0100-000055000000}">
      <text>
        <r>
          <rPr>
            <sz val="11"/>
            <color theme="1"/>
            <rFont val="Calibri"/>
            <family val="2"/>
            <scheme val="minor"/>
          </rPr>
          <t>Estimated Futa-koji Trays Needed
Based on pre-inoculation weight and tray capacity.
Traditional futa (蓋) trays hold ~1.5 kg each.
Ueda method uses larger tarai (たらい) tubs (~15 kg).
Plan for extra trays during mori (盛り) spreading stage.</t>
        </r>
      </text>
    </comment>
    <comment ref="A53" authorId="0" shapeId="0" xr:uid="{00000000-0006-0000-0100-000056000000}">
      <text>
        <r>
          <rPr>
            <sz val="11"/>
            <color theme="1"/>
            <rFont val="Calibri"/>
            <family val="2"/>
            <scheme val="minor"/>
          </rPr>
          <t>Moto Sanity Checks (酛検証, もとけんしょう)
Cross-reference against traditional (伝統的, でんとうてき) ratios.
Large deviations may indicate errors.
Each moto (酛, もと) method has different targets.</t>
        </r>
      </text>
    </comment>
    <comment ref="B54" authorId="0" shapeId="0" xr:uid="{00000000-0006-0000-0100-000057000000}">
      <text>
        <r>
          <rPr>
            <sz val="11"/>
            <color theme="1"/>
            <rFont val="Calibri"/>
            <family val="2"/>
            <scheme val="minor"/>
          </rPr>
          <t>酛歩合 (Moto Buai) - Moto Rice %
速醸: 6-7%
生酛/山廃: 7-10%
菩提酛: 7-8%</t>
        </r>
      </text>
    </comment>
    <comment ref="B55" authorId="0" shapeId="0" xr:uid="{00000000-0006-0000-0100-000058000000}">
      <text>
        <r>
          <rPr>
            <sz val="11"/>
            <color theme="1"/>
            <rFont val="Calibri"/>
            <family val="2"/>
            <scheme val="minor"/>
          </rPr>
          <t>酛麹歩合 - Moto Koji %
Typical: 28-35% of 酛米.
Higher than 醪 stages.
菩提酛 uses up to 40%.</t>
        </r>
      </text>
    </comment>
    <comment ref="B56" authorId="0" shapeId="0" xr:uid="{00000000-0006-0000-0100-000059000000}">
      <text>
        <r>
          <rPr>
            <sz val="11"/>
            <color theme="1"/>
            <rFont val="Calibri"/>
            <family val="2"/>
            <scheme val="minor"/>
          </rPr>
          <t>酛汲水歩合 - Moto Water Ratio
速醸: ~1.2×
生酛: ~1.08×
菩提酛: ~1.3×</t>
        </r>
      </text>
    </comment>
    <comment ref="A58" authorId="0" shapeId="0" xr:uid="{00000000-0006-0000-0100-00005A000000}">
      <text>
        <r>
          <rPr>
            <sz val="11"/>
            <color theme="1"/>
            <rFont val="Calibri"/>
            <family val="2"/>
            <scheme val="minor"/>
          </rPr>
          <t>酵母と乳酸 (Kōbo to Nyūsan)
Yeast 酵母 affects 香り/味 profile.
Lactic 乳酸 source depends on 酛 method.
Critical for 発酵 success.</t>
        </r>
      </text>
    </comment>
    <comment ref="B59" authorId="0" shapeId="0" xr:uid="{00000000-0006-0000-0100-00005B000000}">
      <text>
        <r>
          <rPr>
            <sz val="11"/>
            <color theme="1"/>
            <rFont val="Calibri"/>
            <family val="2"/>
            <scheme val="minor"/>
          </rPr>
          <t>酵母添加量 - Yeast Pitch Volume
For calculating 投入量 pitch rate.
Standard: 1-2 million cells/mL.</t>
        </r>
      </text>
    </comment>
    <comment ref="B60" authorId="0" shapeId="0" xr:uid="{00000000-0006-0000-0100-00005C000000}">
      <text>
        <r>
          <rPr>
            <sz val="11"/>
            <color theme="1"/>
            <rFont val="Calibri"/>
            <family val="2"/>
            <scheme val="minor"/>
          </rPr>
          <t>乾燥酵母 (Kansō Kōbo) - Dry Yeast
Based on pitch rate and cell count.
復水 rehydrate before pitching.</t>
        </r>
      </text>
    </comment>
    <comment ref="B61" authorId="0" shapeId="0" xr:uid="{00000000-0006-0000-0100-00005D000000}">
      <text>
        <r>
          <rPr>
            <sz val="11"/>
            <color theme="1"/>
            <rFont val="Calibri"/>
            <family val="2"/>
            <scheme val="minor"/>
          </rPr>
          <t>液体酵母 (Ekitai Kōbo) - Liquid Yeast
May need スターター to build cells.
Check 活性 viability if old.</t>
        </r>
      </text>
    </comment>
    <comment ref="B62" authorId="0" shapeId="0" xr:uid="{00000000-0006-0000-0100-00005E000000}">
      <text>
        <r>
          <rPr>
            <sz val="11"/>
            <color theme="1"/>
            <rFont val="Calibri"/>
            <family val="2"/>
            <scheme val="minor"/>
          </rPr>
          <t>Liquid yeast pouches needed.
Rounded up to whole pouches.
One pouch typically contains ~100B cells.
Large batches may need multiple.</t>
        </r>
      </text>
    </comment>
    <comment ref="B63" authorId="0" shapeId="0" xr:uid="{00000000-0006-0000-0100-00005F000000}">
      <text>
        <r>
          <rPr>
            <sz val="11"/>
            <color theme="1"/>
            <rFont val="Calibri"/>
            <family val="2"/>
            <scheme val="minor"/>
          </rPr>
          <t>Acid Type (酸タイプ さんたいぷ)
Acid source depends on moto (酛, もと) method.
Natural LAB (天然乳酸, てんねんにゅうさん): Kimoto (生酛, きもと), Yamahai (山廃, やまはい), Bodaimoto (菩提酛, ぼだいもと)
  Lactic acid bacteria (乳酸菌, にゅうさんきん) produce acid over 2-4 weeks
Lactic acid 85% (乳酸添加, にゅうさんてんか): Sokujo (速醸, そくじょう) method
  Commercial acid added, faster (2 weeks total)
None: Direct pitch methods</t>
        </r>
      </text>
    </comment>
    <comment ref="B64" authorId="0" shapeId="0" xr:uid="{00000000-0006-0000-0100-000060000000}">
      <text>
        <r>
          <rPr>
            <sz val="11"/>
            <color theme="1"/>
            <rFont val="Calibri"/>
            <family val="2"/>
            <scheme val="minor"/>
          </rPr>
          <t>Lactic Acid Dose (乳酸添加量, にゅうさんてんかりょう)
Amount of 85% lactic acid (乳酸, にゅうさん) per 100L moto (酛, もと).
Typically 650-800 mL per 100L.
Lowers pH to ~3.5-4.0 immediately.
Not used for kimoto/yamahai (生酛/山廃) - natural lactic (天然乳酸, てんねんにゅうさん).</t>
        </r>
      </text>
    </comment>
    <comment ref="A66" authorId="0" shapeId="0" xr:uid="{00000000-0006-0000-0100-000061000000}">
      <text>
        <r>
          <rPr>
            <sz val="11"/>
            <color theme="1"/>
            <rFont val="Calibri"/>
            <family val="2"/>
            <scheme val="minor"/>
          </rPr>
          <t>Amino Acidity Estimate (アミノ酸度予測 あみのさんどよそく)
Based on Iemura (飯村, いいむら) 1996 research.
Paradox: less-polished rice (低精白, ていせいはく) can have LOWER amino acidity (アミノ酸度 あみのさんど)!
More minerals → more yeast (酵母, こうぼ) → more uptake.</t>
        </r>
      </text>
    </comment>
    <comment ref="A68" authorId="0" shapeId="0" xr:uid="{00000000-0006-0000-0100-000062000000}">
      <text>
        <r>
          <rPr>
            <sz val="11"/>
            <color theme="1"/>
            <rFont val="Calibri"/>
            <family val="2"/>
            <scheme val="minor"/>
          </rPr>
          <t>あなたのレシピ (Anata no Reshipi)
Summary for 蔵 kura use.
Print for 仕込み brew day.
Verify all values before starting.</t>
        </r>
      </text>
    </comment>
    <comment ref="B68" authorId="0" shapeId="0" xr:uid="{00000000-0006-0000-0100-000063000000}">
      <text>
        <r>
          <rPr>
            <sz val="11"/>
            <color theme="1"/>
            <rFont val="Calibri"/>
            <family val="2"/>
            <scheme val="minor"/>
          </rPr>
          <t>Amino acidity scale:
&lt;1.0 = Very clean (ginjo)
1.0-1.3 = Light
1.3-1.6 = Medium
1.6-2.0 = Rich
&gt;2.0 = Very high (kimoto)</t>
        </r>
      </text>
    </comment>
    <comment ref="B69" authorId="0" shapeId="0" xr:uid="{00000000-0006-0000-0100-000064000000}">
      <text>
        <r>
          <rPr>
            <sz val="11"/>
            <color theme="1"/>
            <rFont val="Calibri"/>
            <family val="2"/>
            <scheme val="minor"/>
          </rPr>
          <t>Protein Input (蛋白質投入量, たんぱくしつとうにゅうりょう)
Total protein entering fermentation (発酵, はっこう).
From rice protein content (蛋白質含量, たんぱくしつがんりょう) × rice weight.
Higher polish (精米歩合, せいまいぶあい) = less protein.
Affects amino acidity (アミノ酸度 あみのさんど) and umami (旨味, うまみ).</t>
        </r>
      </text>
    </comment>
    <comment ref="A77" authorId="0" shapeId="0" xr:uid="{00000000-0006-0000-0100-000065000000}">
      <text>
        <r>
          <rPr>
            <sz val="11"/>
            <color theme="1"/>
            <rFont val="Calibri"/>
            <family val="2"/>
            <scheme val="minor"/>
          </rPr>
          <t>Water Chemistry (仕込水化学, しこみみずかがく)
Water is 80% of sake by volume (水は酒の80%を占める みずはさけのはちじゅうぱーせんとをしめる).
Minerals affect fermentation (発酵, はっこう) and flavor (風味, ふうみ).
Adjust RO water (RO水) to match style targets.</t>
        </r>
      </text>
    </comment>
    <comment ref="A79" authorId="0" shapeId="0" xr:uid="{00000000-0006-0000-0100-000066000000}">
      <text>
        <r>
          <rPr>
            <sz val="11"/>
            <color theme="1"/>
            <rFont val="Calibri"/>
            <family val="2"/>
            <scheme val="minor"/>
          </rPr>
          <t>SOURCE WATER PRESET
Select your tap water profile.
Japan regions: Based on traditional brewing waters
USA cities: Based on municipal water reports
Generic: For custom or unknown sources
If your water differs, select "Select" and enter values manually below.</t>
        </r>
      </text>
    </comment>
    <comment ref="B79" authorId="0" shapeId="0" xr:uid="{00000000-0006-0000-0100-000067000000}">
      <text>
        <r>
          <rPr>
            <sz val="11"/>
            <color theme="1"/>
            <rFont val="Calibri"/>
            <family val="2"/>
            <scheme val="minor"/>
          </rPr>
          <t>Water Profile (水質プロファイル すいしつぷろふぁいる)
Miyamizu (宮水, みやみず): Hard (硬水, こうすい), mineral-rich, Nada (灘, なだ) style
Fushimi (伏見, ふしみ): Soft (軟水, なんすい), feminine style
Hiroshima (広島, ひろしま): Very soft, requires adjustment
Ca:Mg ratio affects fermentation vigor.</t>
        </r>
      </text>
    </comment>
    <comment ref="A80" authorId="0" shapeId="0" xr:uid="{00000000-0006-0000-0100-000068000000}">
      <text>
        <r>
          <rPr>
            <sz val="11"/>
            <color theme="1"/>
            <rFont val="Calibri"/>
            <family val="2"/>
            <scheme val="minor"/>
          </rPr>
          <t>Calcium (カルシウム Ca²⁺)
Critical mineral for yeast health and flocculation. Target: 5-30 ppm for most styles. Miyamizu (宮水): 40-60 ppm for robust fermentation. Too low = weak ferment, too high = harsh flavor.</t>
        </r>
      </text>
    </comment>
    <comment ref="B80" authorId="0" shapeId="0" xr:uid="{00000000-0006-0000-0100-000069000000}">
      <text>
        <r>
          <rPr>
            <sz val="11"/>
            <color theme="1"/>
            <rFont val="Calibri"/>
            <family val="2"/>
            <scheme val="minor"/>
          </rPr>
          <t>カルシウム (Ca) - Calcium
Promotes 酵母 health and 凝集.
Target: 5-30 ppm.
宮水: up to 40 ppm.</t>
        </r>
      </text>
    </comment>
    <comment ref="A81" authorId="0" shapeId="0" xr:uid="{00000000-0006-0000-0100-00006A000000}">
      <text>
        <r>
          <rPr>
            <sz val="11"/>
            <color theme="1"/>
            <rFont val="Calibri"/>
            <family val="2"/>
            <scheme val="minor"/>
          </rPr>
          <t>Magnesium (マグネシウム Mg²⁺)
Yeast nutrient affecting fermentation vigor. Target: 2-10 ppm. Works with calcium - Ca:Mg ratio of 3:1 to 5:1 is ideal. Too much creates bitter, metallic notes.</t>
        </r>
      </text>
    </comment>
    <comment ref="B81" authorId="0" shapeId="0" xr:uid="{00000000-0006-0000-0100-00006B000000}">
      <text>
        <r>
          <rPr>
            <sz val="11"/>
            <color theme="1"/>
            <rFont val="Calibri"/>
            <family val="2"/>
            <scheme val="minor"/>
          </rPr>
          <t>マグネシウム (Mg) - Magnesium
酵母栄養素, affects 発酵 vigor.
Target: 2-10 ppm.
Ca:Mg ratio affects character.</t>
        </r>
      </text>
    </comment>
    <comment ref="B82" authorId="0" shapeId="0" xr:uid="{00000000-0006-0000-0100-00006C000000}">
      <text>
        <r>
          <rPr>
            <sz val="11"/>
            <color theme="1"/>
            <rFont val="Calibri"/>
            <family val="2"/>
            <scheme val="minor"/>
          </rPr>
          <t>カリウム (K) - Potassium
Important 酵母栄養素.
Target: 1-5 ppm.
High levels cause 荒さ harshness.</t>
        </r>
      </text>
    </comment>
    <comment ref="B83" authorId="0" shapeId="0" xr:uid="{00000000-0006-0000-0100-00006D000000}">
      <text>
        <r>
          <rPr>
            <sz val="11"/>
            <color theme="1"/>
            <rFont val="Calibri"/>
            <family val="2"/>
            <scheme val="minor"/>
          </rPr>
          <t>塩化物 (Cl) - Chloride
Enhances 甘味 and ボディ.
Target: 10-30 ppm.
Balance with 硫酸塩 for style.</t>
        </r>
      </text>
    </comment>
    <comment ref="C83" authorId="0" shapeId="0" xr:uid="{00000000-0006-0000-0100-00006E000000}">
      <text>
        <r>
          <rPr>
            <sz val="11"/>
            <color theme="1"/>
            <rFont val="Calibri"/>
            <family val="2"/>
            <scheme val="minor"/>
          </rPr>
          <t>Sodium Status Indicator
⚠ High: &gt;50 ppm sodium affects yeast metabolism.
High sodium can inhibit fermentation and produce off-flavors.
Consider dilution with RO water if source is high.
Target: &lt;50 ppm for clean fermentation.</t>
        </r>
      </text>
    </comment>
    <comment ref="B84" authorId="0" shapeId="0" xr:uid="{00000000-0006-0000-0100-00006F000000}">
      <text>
        <r>
          <rPr>
            <sz val="11"/>
            <color theme="1"/>
            <rFont val="Calibri"/>
            <family val="2"/>
            <scheme val="minor"/>
          </rPr>
          <t>硫酸塩 (SO4) - Sulfate
Enhances 辛口 and キレ.
Target: 10-50 ppm.
Higher for 辛口 dry styles.</t>
        </r>
      </text>
    </comment>
    <comment ref="B85" authorId="0" shapeId="0" xr:uid="{00000000-0006-0000-0100-000070000000}">
      <text>
        <r>
          <rPr>
            <sz val="11"/>
            <color theme="1"/>
            <rFont val="Calibri"/>
            <family val="2"/>
            <scheme val="minor"/>
          </rPr>
          <t>SO₄²⁻ - dryness/crispness</t>
        </r>
      </text>
    </comment>
    <comment ref="B86" authorId="0" shapeId="0" xr:uid="{00000000-0006-0000-0100-000071000000}">
      <text>
        <r>
          <rPr>
            <sz val="11"/>
            <color theme="1"/>
            <rFont val="Calibri"/>
            <family val="2"/>
            <scheme val="minor"/>
          </rPr>
          <t>PHOSPHATE (PO₄³⁻)
Target: 2-5 ppm
Miyamizu: 5.2 ppm
Effects:
• Works with K and Mg
• Enhances koji growth
• Critical for yeast starter (moto)
Add to moto water, not main fermentation.</t>
        </r>
      </text>
    </comment>
    <comment ref="B87" authorId="0" shapeId="0" xr:uid="{00000000-0006-0000-0100-000072000000}">
      <text>
        <r>
          <rPr>
            <sz val="11"/>
            <color theme="1"/>
            <rFont val="Calibri"/>
            <family val="2"/>
            <scheme val="minor"/>
          </rPr>
          <t>Iron (鉄, てつ) - Auto-populated from Source Preset
🛑 CRITICAL: &gt;0.02 ppm causes sake browning and stale flavors.
Japanese brewing standard: ≤0.02 ppm (10× stricter than EPA).
Miyamizu benchmark: 0.002-0.003 ppm.
If your water differs from preset, enter measured value manually.
Consider activated carbon filtration if &gt;0.02 ppm.</t>
        </r>
      </text>
    </comment>
    <comment ref="C87" authorId="0" shapeId="0" xr:uid="{00000000-0006-0000-0100-000073000000}">
      <text>
        <r>
          <rPr>
            <sz val="11"/>
            <color theme="1"/>
            <rFont val="Calibri"/>
            <family val="2"/>
            <scheme val="minor"/>
          </rPr>
          <t>Iron Status Indicator
🛑 Filter required: &gt;0.02 ppm iron causes severe problems.
Iron catalyzes oxidation → browning, stale flavors.
Even 0.02 ppm can darken sake over time.
Use activated carbon or ion exchange filtration.
Target: &lt;0.02 ppm (ideally undetectable).</t>
        </r>
      </text>
    </comment>
    <comment ref="B88" authorId="0" shapeId="0" xr:uid="{00000000-0006-0000-0100-000074000000}">
      <text>
        <r>
          <rPr>
            <sz val="11"/>
            <color theme="1"/>
            <rFont val="Calibri"/>
            <family val="2"/>
            <scheme val="minor"/>
          </rPr>
          <t>Manganese (マンガン) - Auto-populated from Source Preset
🛑 CRITICAL: &gt;0.02 ppm accelerates oxidative browning.
Combined Fe+Mn is especially problematic.
Japanese brewing standard: ≤0.02 ppm.
If your water differs from preset, enter measured value manually.
Treat with same filtration methods as iron.</t>
        </r>
      </text>
    </comment>
    <comment ref="C88" authorId="0" shapeId="0" xr:uid="{00000000-0006-0000-0100-000075000000}">
      <text>
        <r>
          <rPr>
            <sz val="11"/>
            <color theme="1"/>
            <rFont val="Calibri"/>
            <family val="2"/>
            <scheme val="minor"/>
          </rPr>
          <t>Manganese Status Indicator
🛑 Filter required: &gt;0.02 ppm manganese causes problems.
Manganese accelerates oxidative browning (similar to iron).
Combined Fe+Mn especially problematic.
Treat with same filtration as iron.
Target: &lt;0.02 ppm (ideally undetectable).</t>
        </r>
      </text>
    </comment>
    <comment ref="B89" authorId="0" shapeId="0" xr:uid="{00000000-0006-0000-0100-000076000000}">
      <text>
        <r>
          <rPr>
            <sz val="11"/>
            <color theme="1"/>
            <rFont val="Calibri"/>
            <family val="2"/>
            <scheme val="minor"/>
          </rPr>
          <t>pH - Auto-populated from Source Preset
Typical range: 6.5-8.5 for municipal water.
Some cities maintain high pH (8.5-9.5) for lead pipe corrosion control.
RO water: ~6.0 (CO₂ absorption makes it slightly acidic).
For brewing, pH affects enzyme activity and yeast health.
Moto naturally acidifies to pH 4-5 during lactic fermentation.
If your water differs from preset, enter measured value manually.</t>
        </r>
      </text>
    </comment>
    <comment ref="B90" authorId="0" shapeId="0" xr:uid="{00000000-0006-0000-0100-000077000000}">
      <text>
        <r>
          <rPr>
            <sz val="11"/>
            <color theme="1"/>
            <rFont val="Calibri"/>
            <family val="2"/>
            <scheme val="minor"/>
          </rPr>
          <t>Total hardness</t>
        </r>
      </text>
    </comment>
    <comment ref="B93" authorId="0" shapeId="0" xr:uid="{00000000-0006-0000-0100-000078000000}">
      <text>
        <r>
          <rPr>
            <sz val="11"/>
            <color theme="1"/>
            <rFont val="Calibri"/>
            <family val="2"/>
            <scheme val="minor"/>
          </rPr>
          <t>TARGET WATER STYLE
Select based on sake style you want to brew:
SOFT WATER STYLES:
• Ginjo/Daiginjo: Delicate, aromatic
• Tanrei Karakuchi: Niigata dry style
• Hiroshima: Ultra-soft, fragrant
HARD WATER STYLES:
• Kimoto/Yamahai: Robust, complex
• Miyamizu: Nada otoko-zake
MEDIUM:
• Junmai: Balanced, full-bodied
• Fushimi: Kyoto onna-zake
Soft water = slower fermentation, delicate
Hard water = faster fermentation, robust</t>
        </r>
      </text>
    </comment>
    <comment ref="B106" authorId="0" shapeId="0" xr:uid="{00000000-0006-0000-0100-000079000000}">
      <text>
        <r>
          <rPr>
            <sz val="11"/>
            <color theme="1"/>
            <rFont val="Calibri"/>
            <family val="2"/>
            <scheme val="minor"/>
          </rPr>
          <t>RO/DILUTION CHECK
Shows "YES" if source water is too hard:
Triggers when:
• Ca exceeds target by &gt;10 ppm
• Mg exceeds target by &gt;5 ppm
• Na exceeds 50 ppm (salty)
• Hardness exceeds target by &gt;50 mg/L
If YES: Use RO or distilled water to dilute.
Mix RO + tap water BEFORE adding salts.</t>
        </r>
      </text>
    </comment>
    <comment ref="B107" authorId="0" shapeId="0" xr:uid="{00000000-0006-0000-0100-00007A000000}">
      <text>
        <r>
          <rPr>
            <sz val="11"/>
            <color theme="1"/>
            <rFont val="Calibri"/>
            <family val="2"/>
            <scheme val="minor"/>
          </rPr>
          <t>Water Blend Calculation
Based on hardness: Tap% = (Target ÷ Source) × 100
Example: Target 50 ppm, Source 150 ppm
  Tap% = 50/150 × 100 = 33%
  RO% = 100 - 33 = 67%
  Result: 33% × 150 + 67% × 0 = 50 ppm ✓
If target ≥ source hardness:
  Use 100% tap and add minerals to reach target.
Blend waters BEFORE adding salts.
Verify final hardness with test kit.</t>
        </r>
      </text>
    </comment>
    <comment ref="B110" authorId="0" shapeId="0" xr:uid="{00000000-0006-0000-0100-00007B000000}">
      <text>
        <r>
          <rPr>
            <sz val="11"/>
            <color theme="1"/>
            <rFont val="Calibri"/>
            <family val="2"/>
            <scheme val="minor"/>
          </rPr>
          <t>Total water used in entire recipe.
Includes: Moto + Soe + Naka + Tome + Yondan
Salt additions calculated for this volume.</t>
        </r>
      </text>
    </comment>
    <comment ref="B111" authorId="0" shapeId="0" xr:uid="{00000000-0006-0000-0100-00007C000000}">
      <text>
        <r>
          <rPr>
            <sz val="11"/>
            <color theme="1"/>
            <rFont val="Calibri"/>
            <family val="2"/>
            <scheme val="minor"/>
          </rPr>
          <t>Moto (yeast starter) water only.
Traditional practice: add minerals to moto only.
Main fermentation uses untreated water.</t>
        </r>
      </text>
    </comment>
    <comment ref="B112" authorId="0" shapeId="0" xr:uid="{00000000-0006-0000-0100-00007D000000}">
      <text>
        <r>
          <rPr>
            <sz val="11"/>
            <color theme="1"/>
            <rFont val="Calibri"/>
            <family val="2"/>
            <scheme val="minor"/>
          </rPr>
          <t>WHICH WATER TO TREAT?
TOTAL WATER:
• Treats all brewing water
• Consistent mineral profile throughout
• Uses more salt
MOTO ONLY (Traditional):
• Treats yeast starter water only
• Main fermentation uses untreated water
• Uses less salt
• Traditional Japanese practice
Recommendation:
• Homebrew: Total water is easier
• Traditional: Moto only</t>
        </r>
      </text>
    </comment>
    <comment ref="B113" authorId="0" shapeId="0" xr:uid="{00000000-0006-0000-0100-00007E000000}">
      <text>
        <r>
          <rPr>
            <sz val="11"/>
            <color theme="1"/>
            <rFont val="Calibri"/>
            <family val="2"/>
            <scheme val="minor"/>
          </rPr>
          <t>Gypsum adds Ca and SO₄.
Use food-grade brewing gypsum.
Common brands: LD Carlson, Five Star, BSG</t>
        </r>
      </text>
    </comment>
    <comment ref="A115" authorId="0" shapeId="0" xr:uid="{00000000-0006-0000-0100-00007F000000}">
      <text>
        <r>
          <rPr>
            <sz val="11"/>
            <color theme="1"/>
            <rFont val="Calibri"/>
            <family val="2"/>
            <scheme val="minor"/>
          </rPr>
          <t>SALT ADDITION ORDER:
1. KH₂PO₄ FIRST - acts as pH buffer
   Stabilizes water before other additions
2. Gypsum (CaSO₄) - main calcium source
   Adds Ca + SO₄, enhances dryness
   Use warm water, stir well
3. CaCl₂ - only if more Ca needed
   Adds Ca + Cl, enhances fullness
   Skip if gypsum covers Ca target
4. Epsom salt (MgSO₄) - magnesium
   Critical for yeast health
   Dissolves easily in warm water
5. KCl LAST - potassium
   Most important mineral for sake
   Morton Salt Substitute = pure KCl
IMPORTANT:
• Never exceed 2.5 g/L gypsum (solubility)
• Add to water, not water to salts
• CaCl₂ dissolution is exothermic (heats up)</t>
        </r>
      </text>
    </comment>
    <comment ref="B116" authorId="0" shapeId="0" xr:uid="{00000000-0006-0000-0100-000080000000}">
      <text>
        <r>
          <rPr>
            <sz val="11"/>
            <color theme="1"/>
            <rFont val="Calibri"/>
            <family val="2"/>
            <scheme val="minor"/>
          </rPr>
          <t>KCl adds K and Cl.
Morton Salt Substitute is pure KCl.
Also: Nu-Salt, NoSalt brands.</t>
        </r>
      </text>
    </comment>
    <comment ref="C117" authorId="0" shapeId="0" xr:uid="{00000000-0006-0000-0100-000081000000}">
      <text>
        <r>
          <rPr>
            <sz val="11"/>
            <color theme="1"/>
            <rFont val="Calibri"/>
            <family val="2"/>
            <scheme val="minor"/>
          </rPr>
          <t>KH₂PO₄ (Potassium Phosphate)
ADD FIRST - buffers pH
Contributes:
• 287 ppm K per g/L
• 698 ppm PO₄ per g/L
Brands: Now Foods, Bulk Supplements
Food grade only!</t>
        </r>
      </text>
    </comment>
    <comment ref="C118" authorId="0" shapeId="0" xr:uid="{00000000-0006-0000-0100-000082000000}">
      <text>
        <r>
          <rPr>
            <sz val="11"/>
            <color theme="1"/>
            <rFont val="Calibri"/>
            <family val="2"/>
            <scheme val="minor"/>
          </rPr>
          <t>GYPSUM (CaSO₄·2H₂O)
Main calcium source
Contributes:
• 232 ppm Ca per g/L
• 558 ppm SO₄ per g/L
Solubility: Max 2.5 g/L
Use warm water (40°C)
Stir until fully dissolved
Brands: LD Carlson, Five Star, BSG</t>
        </r>
      </text>
    </comment>
    <comment ref="C119" authorId="0" shapeId="0" xr:uid="{00000000-0006-0000-0100-000083000000}">
      <text>
        <r>
          <rPr>
            <sz val="11"/>
            <color theme="1"/>
            <rFont val="Calibri"/>
            <family val="2"/>
            <scheme val="minor"/>
          </rPr>
          <t>CALCIUM CHLORIDE (CaCl₂·2H₂O)
Use ONLY if gypsum doesn't cover Ca need
Contributes:
• 272 ppm Ca per g/L
• 483 ppm Cl per g/L
WARNING: Dissolution is exothermic!
Add slowly, generates heat.
Chloride enhances fullness.
Sulfate (gypsum) enhances dryness.</t>
        </r>
      </text>
    </comment>
    <comment ref="C120" authorId="0" shapeId="0" xr:uid="{00000000-0006-0000-0100-000084000000}">
      <text>
        <r>
          <rPr>
            <sz val="11"/>
            <color theme="1"/>
            <rFont val="Calibri"/>
            <family val="2"/>
            <scheme val="minor"/>
          </rPr>
          <t>EPSOM SALT (MgSO₄·7H₂O)
Magnesium source
Contributes:
• 99 ppm Mg per g/L
• 390 ppm SO₄ per g/L
Dissolves easily in warm water.
Food grade (USP) only!
Brands: Epsoak, Dr Teals (unscented)</t>
        </r>
      </text>
    </comment>
    <comment ref="C121" authorId="0" shapeId="0" xr:uid="{00000000-0006-0000-0100-000085000000}">
      <text>
        <r>
          <rPr>
            <sz val="11"/>
            <color theme="1"/>
            <rFont val="Calibri"/>
            <family val="2"/>
            <scheme val="minor"/>
          </rPr>
          <t>POTASSIUM CHLORIDE (KCl)
ADD LAST - main potassium source
Contributes:
• 524 ppm K per g/L
• 476 ppm Cl per g/L
NOTE: Amount reduced because KH₂PO₄
also contributes potassium (287 ppm K/g/L).
K is the MOST CRITICAL mineral for sake!
Brand: Morton Salt Substitute</t>
        </r>
      </text>
    </comment>
    <comment ref="A128" authorId="0" shapeId="0" xr:uid="{00000000-0006-0000-0100-000086000000}">
      <text>
        <r>
          <rPr>
            <sz val="11"/>
            <color theme="1"/>
            <rFont val="Calibri"/>
            <family val="2"/>
            <scheme val="minor"/>
          </rPr>
          <t>SODIUM NOTE
Target profiles may show Na targets,
but we do NOT recommend adding NaCl.
Miyamizu naturally has 32 ppm Na,
but this is from the source water,
not from salt additions.
High sodium creates salty, harsh flavors.
Keep Na below 50 ppm.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4" authorId="0" shapeId="0" xr:uid="{00000000-0006-0000-0200-000001000000}">
      <text>
        <r>
          <rPr>
            <sz val="11"/>
            <color theme="1"/>
            <rFont val="Calibri"/>
            <family val="2"/>
            <scheme val="minor"/>
          </rPr>
          <t>Koji Method (製麹方法, せいぎくほうほう)
Futa-koji (蓋麹, ふたこうじ) tray method: Traditional trays, 1.5kg each, highest control
Hako-koji (箱麹, はここうじ) box method: Boxes, 10-15kg, moderate labor
Ueda/Tarai (上田式/盥 うえだしき/たらい): Plastic tubs, 15kg, simplified control
Machine (機械製麹, きかいせいぎく): Automated, large scale
Method affects equipment (設備, せつび) needs below.</t>
        </r>
      </text>
    </comment>
    <comment ref="B5" authorId="0" shapeId="0" xr:uid="{00000000-0006-0000-0200-000002000000}">
      <text>
        <r>
          <rPr>
            <sz val="11"/>
            <color theme="1"/>
            <rFont val="Calibri"/>
            <family val="2"/>
            <scheme val="minor"/>
          </rPr>
          <t>Koji Style (破精タイプ はぜたいぷ)
Target koji (麹, こうじ) growth pattern.
Tsuki-haze (突きハゼ つきはぜ): Spotted, deep penetration - for ginjo (吟醸向き ぎんじょうむき)
Sō-haze (総ハゼ そうはぜ): Full surface coverage - for junmai (純米向き じゅんまいむき)
Controlled by: moisture (水分, すいぶん), temperature (温度, おんど), time (時間, じかん), spore amount (種麹量, たねこうじりょう).</t>
        </r>
      </text>
    </comment>
    <comment ref="B6" authorId="0" shapeId="0" xr:uid="{00000000-0006-0000-0200-000003000000}">
      <text>
        <r>
          <rPr>
            <sz val="11"/>
            <color theme="1"/>
            <rFont val="Calibri"/>
            <family val="2"/>
            <scheme val="minor"/>
          </rPr>
          <t>Select which rice lot is being processed for koji. Polish ratio and timing adjustments will be calculated from Recipe.</t>
        </r>
      </text>
    </comment>
    <comment ref="B7" authorId="0" shapeId="0" xr:uid="{00000000-0006-0000-0200-000004000000}">
      <text>
        <r>
          <rPr>
            <sz val="11"/>
            <color theme="1"/>
            <rFont val="Calibri"/>
            <family val="2"/>
            <scheme val="minor"/>
          </rPr>
          <t>Polish ratio from selected koji lot (Recipe sheet)</t>
        </r>
      </text>
    </comment>
    <comment ref="B8" authorId="0" shapeId="0" xr:uid="{00000000-0006-0000-0200-000005000000}">
      <text>
        <r>
          <rPr>
            <sz val="11"/>
            <color theme="1"/>
            <rFont val="Calibri"/>
            <family val="2"/>
            <scheme val="minor"/>
          </rPr>
          <t>Polish-based timing adjustment. Baseline is 70% polish. Each 1% more polishing adds ~12 minutes (0.2 hours). 50% polish = +4h; 40% = +6h. Source: Koji Production Methods guide.</t>
        </r>
      </text>
    </comment>
    <comment ref="B9" authorId="0" shapeId="0" xr:uid="{00000000-0006-0000-0200-000006000000}">
      <text>
        <r>
          <rPr>
            <sz val="11"/>
            <color theme="1"/>
            <rFont val="Calibri"/>
            <family val="2"/>
            <scheme val="minor"/>
          </rPr>
          <t>Koji Start (製麹開始, せいぎくかいし)
Enter when rice goes into koji room (麹室, こうじむろ) after cooling.
Workflow dates (工程日程, こうていにってい) calculate from this.
Plan backwards (逆算, ぎゃくさん) from moromi (醪, もろみ) start date.</t>
        </r>
      </text>
    </comment>
    <comment ref="B10" authorId="0" shapeId="0" xr:uid="{00000000-0006-0000-0200-000007000000}">
      <text>
        <r>
          <rPr>
            <sz val="11"/>
            <color theme="1"/>
            <rFont val="Calibri"/>
            <family val="2"/>
            <scheme val="minor"/>
          </rPr>
          <t>Hours since koji start.
Auto-calculated from current time.
Use to track progress through workflow stages.</t>
        </r>
      </text>
    </comment>
    <comment ref="B13" authorId="0" shapeId="0" xr:uid="{00000000-0006-0000-0200-000008000000}">
      <text>
        <r>
          <rPr>
            <sz val="11"/>
            <color theme="1"/>
            <rFont val="Calibri"/>
            <family val="2"/>
            <scheme val="minor"/>
          </rPr>
          <t>Dry Koji Rice (麹用白米, こうじようはくまい)
From Recipe koji allocation (麹米配分, こうじまいはいぶん).
Starting point for weight progression tracking (重量追跡, じゅうりょうついせき).</t>
        </r>
      </text>
    </comment>
    <comment ref="B14" authorId="0" shapeId="0" xr:uid="{00000000-0006-0000-0200-000009000000}">
      <text>
        <r>
          <rPr>
            <sz val="11"/>
            <color theme="1"/>
            <rFont val="Calibri"/>
            <family val="2"/>
            <scheme val="minor"/>
          </rPr>
          <t>After Soaking (浸漬後, しんせきご)
Target: 130% of dry weight (白米, はくまい) - 30% absorption (吸水率, きゅうすいりつ).
Varies by polish ratio (精米歩合, せいまいぶあい) and variety (品種, ひんしゅ).
Test with 10-minute soak test (10分浸漬試験 じゅっぷんしんせきしけん) to calibrate.</t>
        </r>
      </text>
    </comment>
    <comment ref="B15" authorId="0" shapeId="0" xr:uid="{00000000-0006-0000-0200-00000A000000}">
      <text>
        <r>
          <rPr>
            <sz val="11"/>
            <color theme="1"/>
            <rFont val="Calibri"/>
            <family val="2"/>
            <scheme val="minor"/>
          </rPr>
          <t>After Steaming (蒸し上がり むしあがり)
Target: 140% of dry weight (白米, はくまい) - 40% moisture (水分, すいぶん).
Should be gaihannai (外硬内軟, がいこうないなん) - firm outside, soft inside.
No hard white core (芯, しん) when bitten.</t>
        </r>
      </text>
    </comment>
    <comment ref="B16" authorId="0" shapeId="0" xr:uid="{00000000-0006-0000-0200-00000B000000}">
      <text>
        <r>
          <rPr>
            <sz val="11"/>
            <color theme="1"/>
            <rFont val="Calibri"/>
            <family val="2"/>
            <scheme val="minor"/>
          </rPr>
          <t>After Drying (引込後, ひきこみご)
Target: 128-131% of dry weight (白米, はくまい) - 28-31% moisture (水分, すいぶん).
Critical moisture reduction (水分調整, すいぶんちょうせい) for tsuki-haze (突きハゼ つきはぜ).
Spread in 25mm layer at 40°C, low humidity (低湿度, ていしつど).</t>
        </r>
      </text>
    </comment>
    <comment ref="C16" authorId="0" shapeId="0" xr:uid="{00000000-0006-0000-0200-00000C000000}">
      <text>
        <r>
          <rPr>
            <sz val="11"/>
            <color theme="1"/>
            <rFont val="Calibri"/>
            <family val="2"/>
            <scheme val="minor"/>
          </rPr>
          <t>Hiki-komi (引込み): Initial koji weight after steaming and cooling, before inoculation. This starting point determines enzyme production capacity. Track weight loss during koji-making (typically 15-18%) to monitor moisture content and enzyme concentration.</t>
        </r>
      </text>
    </comment>
    <comment ref="B17" authorId="0" shapeId="0" xr:uid="{00000000-0006-0000-0200-00000D000000}">
      <text>
        <r>
          <rPr>
            <sz val="11"/>
            <color theme="1"/>
            <rFont val="Calibri"/>
            <family val="2"/>
            <scheme val="minor"/>
          </rPr>
          <t>Final Weight (出麹, でこうじ)
Target: 117-120% of dry weight (白米, はくまい).
Weight loss from moisture evaporation (水分蒸発, すいぶんじょうはつ).
Good koji (麹, こうじ) should feel light and have chestnut aroma (栗香, くりか).</t>
        </r>
      </text>
    </comment>
    <comment ref="B18" authorId="0" shapeId="0" xr:uid="{00000000-0006-0000-0200-00000E000000}">
      <text>
        <r>
          <rPr>
            <sz val="11"/>
            <color theme="1"/>
            <rFont val="Calibri"/>
            <family val="2"/>
            <scheme val="minor"/>
          </rPr>
          <t>FINISHED KOJI WEIGHT (Dekoji)
Target: Dry × 1.15 (dekoji buai 14-17%)
Finished koji is LIGHTER than steamed because:
• Moisture evaporates during cultivation
• Final moisture: 12-19% (optimal 15-17%)
WEIGH your finished koji!
Compare actual vs expected to track yield.
Dekoji buai = (koji_wt - dry_wt) / dry_wt × 100</t>
        </r>
      </text>
    </comment>
    <comment ref="E21" authorId="0" shapeId="0" xr:uid="{00000000-0006-0000-0200-00000F000000}">
      <text>
        <r>
          <rPr>
            <sz val="11"/>
            <color theme="1"/>
            <rFont val="Calibri"/>
            <family val="2"/>
            <scheme val="minor"/>
          </rPr>
          <t>WEIGHT REFERENCE
Shows target weight for key steps:
• Soak: Weight after soaking
• Steam: Weight after steaming
• Dry down: Weight after hiki-komi (Ueda)
• Dekoji: Finished koji weight
WEIGH at each step to verify!</t>
        </r>
      </text>
    </comment>
    <comment ref="F21" authorId="0" shapeId="0" xr:uid="{00000000-0006-0000-0200-000010000000}">
      <text>
        <r>
          <rPr>
            <sz val="11"/>
            <color theme="1"/>
            <rFont val="Calibri"/>
            <family val="2"/>
            <scheme val="minor"/>
          </rPr>
          <t>Done? - Check when step complete.
Yes = completed
No = not yet done
Helps track progress through workflow.</t>
        </r>
      </text>
    </comment>
    <comment ref="B22" authorId="0" shapeId="0" xr:uid="{00000000-0006-0000-0200-000011000000}">
      <text>
        <r>
          <rPr>
            <sz val="11"/>
            <color theme="1"/>
            <rFont val="Calibri"/>
            <family val="2"/>
            <scheme val="minor"/>
          </rPr>
          <t>Wash rice thoroughly until water runs clear.
Multiple rinses (5-10) to remove nuka.
Gentle handling to avoid cracking.
Highly polished rice is fragile.</t>
        </r>
      </text>
    </comment>
    <comment ref="F22" authorId="0" shapeId="0" xr:uid="{00000000-0006-0000-0200-000012000000}">
      <text>
        <r>
          <rPr>
            <sz val="11"/>
            <color theme="1"/>
            <rFont val="Calibri"/>
            <family val="2"/>
            <scheme val="minor"/>
          </rPr>
          <t>Wash rice scheduled time (Batch start + time offset)</t>
        </r>
      </text>
    </comment>
    <comment ref="B23" authorId="0" shapeId="0" xr:uid="{00000000-0006-0000-0200-000013000000}">
      <text>
        <r>
          <rPr>
            <sz val="11"/>
            <color theme="1"/>
            <rFont val="Calibri"/>
            <family val="2"/>
            <scheme val="minor"/>
          </rPr>
          <t>Soak rice for target absorption.
Time varies by polish ratio:
  70%: 8-12 hours
  60%: 4-8 hours  
  50%: 1-3 hours
  40%: Timed to seconds (limited absorption)</t>
        </r>
      </text>
    </comment>
    <comment ref="F23" authorId="0" shapeId="0" xr:uid="{00000000-0006-0000-0200-000014000000}">
      <text>
        <r>
          <rPr>
            <sz val="11"/>
            <color theme="1"/>
            <rFont val="Calibri"/>
            <family val="2"/>
            <scheme val="minor"/>
          </rPr>
          <t>Drain rice scheduled time</t>
        </r>
      </text>
    </comment>
    <comment ref="B24" authorId="0" shapeId="0" xr:uid="{00000000-0006-0000-0200-000015000000}">
      <text>
        <r>
          <rPr>
            <sz val="11"/>
            <color theme="1"/>
            <rFont val="Calibri"/>
            <family val="2"/>
            <scheme val="minor"/>
          </rPr>
          <t>Drain rice until no dripping.
30-60 minutes typically.
'Tsuyudare' - rice glistens but doesn't drip.
Excess water ruins steaming.</t>
        </r>
      </text>
    </comment>
    <comment ref="F24" authorId="0" shapeId="0" xr:uid="{00000000-0006-0000-0200-000016000000}">
      <text>
        <r>
          <rPr>
            <sz val="11"/>
            <color theme="1"/>
            <rFont val="Calibri"/>
            <family val="2"/>
            <scheme val="minor"/>
          </rPr>
          <t>Soak rice scheduled time</t>
        </r>
      </text>
    </comment>
    <comment ref="B25" authorId="0" shapeId="0" xr:uid="{00000000-0006-0000-0200-000017000000}">
      <text>
        <r>
          <rPr>
            <sz val="11"/>
            <color theme="1"/>
            <rFont val="Calibri"/>
            <family val="2"/>
            <scheme val="minor"/>
          </rPr>
          <t>Steam rice to gaihannai texture.
40-60 minutes steaming.
外硬内軟 = firm outside, soft inside.
No hard white core when bitten.
Target 40% moisture content.</t>
        </r>
      </text>
    </comment>
    <comment ref="F25" authorId="0" shapeId="0" xr:uid="{00000000-0006-0000-0200-000018000000}">
      <text>
        <r>
          <rPr>
            <sz val="11"/>
            <color theme="1"/>
            <rFont val="Calibri"/>
            <family val="2"/>
            <scheme val="minor"/>
          </rPr>
          <t>Steam rice scheduled time</t>
        </r>
      </text>
    </comment>
    <comment ref="B26" authorId="0" shapeId="0" xr:uid="{00000000-0006-0000-0200-000019000000}">
      <text>
        <r>
          <rPr>
            <sz val="11"/>
            <color theme="1"/>
            <rFont val="Calibri"/>
            <family val="2"/>
            <scheme val="minor"/>
          </rPr>
          <t>Cool and spread for hiki-komi drying.
Spread in 25mm layer at 40°C.
Fan to accelerate evaporation.
Target: 28-31% moisture.
Lower moisture = better tsuki-haze.</t>
        </r>
      </text>
    </comment>
    <comment ref="F26" authorId="0" shapeId="0" xr:uid="{00000000-0006-0000-0200-00001A000000}">
      <text>
        <r>
          <rPr>
            <sz val="11"/>
            <color theme="1"/>
            <rFont val="Calibri"/>
            <family val="2"/>
            <scheme val="minor"/>
          </rPr>
          <t>Cool to inoculation temp scheduled time</t>
        </r>
      </text>
    </comment>
    <comment ref="B27" authorId="0" shapeId="0" xr:uid="{00000000-0006-0000-0200-00001B000000}">
      <text>
        <r>
          <rPr>
            <sz val="11"/>
            <color theme="1"/>
            <rFont val="Calibri"/>
            <family val="2"/>
            <scheme val="minor"/>
          </rPr>
          <t>Inoculate with koji spores (tane-tsuke).
Sprinkle tane-koji evenly over rice.
Dosage: 0.05-0.2g per kg rice.
Lower dose = slower, more controlled growth.
Mix thoroughly for even distribution.</t>
        </r>
      </text>
    </comment>
    <comment ref="F27" authorId="0" shapeId="0" xr:uid="{00000000-0006-0000-0200-00001C000000}">
      <text>
        <r>
          <rPr>
            <sz val="11"/>
            <color theme="1"/>
            <rFont val="Calibri"/>
            <family val="2"/>
            <scheme val="minor"/>
          </rPr>
          <t>Inoculation scheduled time</t>
        </r>
      </text>
    </comment>
    <comment ref="B28" authorId="0" shapeId="0" xr:uid="{00000000-0006-0000-0200-00001D000000}">
      <text>
        <r>
          <rPr>
            <sz val="11"/>
            <color theme="1"/>
            <rFont val="Calibri"/>
            <family val="2"/>
            <scheme val="minor"/>
          </rPr>
          <t>Bundle wrapped for toko incubation.
Wrap in cloth, place in koji-muro.
32-35°C, high humidity.
Let spores germinate 10-12 hours.
Rice will stick together slightly.</t>
        </r>
      </text>
    </comment>
    <comment ref="F28" authorId="0" shapeId="0" xr:uid="{00000000-0006-0000-0200-00001E000000}">
      <text>
        <r>
          <rPr>
            <sz val="11"/>
            <color theme="1"/>
            <rFont val="Calibri"/>
            <family val="2"/>
            <scheme val="minor"/>
          </rPr>
          <t>First mixing scheduled time</t>
        </r>
      </text>
    </comment>
    <comment ref="B29" authorId="0" shapeId="0" xr:uid="{00000000-0006-0000-0200-00001F000000}">
      <text>
        <r>
          <rPr>
            <sz val="11"/>
            <color theme="1"/>
            <rFont val="Calibri"/>
            <family val="2"/>
            <scheme val="minor"/>
          </rPr>
          <t>Kirikaeshi - first mixing/breaking.
Break apart stuck rice grains.
Redistribute moisture and heat.
Supply oxygen for koji growth.
Move to trays/tubs if using futa/Ueda method.</t>
        </r>
      </text>
    </comment>
    <comment ref="F29" authorId="0" shapeId="0" xr:uid="{00000000-0006-0000-0200-000020000000}">
      <text>
        <r>
          <rPr>
            <sz val="11"/>
            <color theme="1"/>
            <rFont val="Calibri"/>
            <family val="2"/>
            <scheme val="minor"/>
          </rPr>
          <t>Box transfer scheduled time</t>
        </r>
      </text>
    </comment>
    <comment ref="B30" authorId="0" shapeId="0" xr:uid="{00000000-0006-0000-0200-000021000000}">
      <text>
        <r>
          <rPr>
            <sz val="11"/>
            <color theme="1"/>
            <rFont val="Calibri"/>
            <family val="2"/>
            <scheme val="minor"/>
          </rPr>
          <t>Mori - heap/distribute to containers.
Transfer to koji-buta trays or tarai tubs.
Spread to increase surface area.
Temperature control now critical.
Cover to maintain humidity.</t>
        </r>
      </text>
    </comment>
    <comment ref="F30" authorId="0" shapeId="0" xr:uid="{00000000-0006-0000-0200-000022000000}">
      <text>
        <r>
          <rPr>
            <sz val="11"/>
            <color theme="1"/>
            <rFont val="Calibri"/>
            <family val="2"/>
            <scheme val="minor"/>
          </rPr>
          <t>Middle work scheduled time</t>
        </r>
      </text>
    </comment>
    <comment ref="B31" authorId="0" shapeId="0" xr:uid="{00000000-0006-0000-0200-000023000000}">
      <text>
        <r>
          <rPr>
            <sz val="11"/>
            <color theme="1"/>
            <rFont val="Calibri"/>
            <family val="2"/>
            <scheme val="minor"/>
          </rPr>
          <t>Naka-shigoto - middle work.
Mix and furrow the koji.
Temperature rising to 34-36°C.
Visible white growth (10-50% coverage).
Draw furrows to release heat.</t>
        </r>
      </text>
    </comment>
    <comment ref="F31" authorId="0" shapeId="0" xr:uid="{00000000-0006-0000-0200-000024000000}">
      <text>
        <r>
          <rPr>
            <sz val="11"/>
            <color theme="1"/>
            <rFont val="Calibri"/>
            <family val="2"/>
            <scheme val="minor"/>
          </rPr>
          <t>Harvest finished koji scheduled time</t>
        </r>
      </text>
    </comment>
    <comment ref="B33" authorId="0" shapeId="0" xr:uid="{00000000-0006-0000-0200-000025000000}">
      <text>
        <r>
          <rPr>
            <sz val="11"/>
            <color theme="1"/>
            <rFont val="Calibri"/>
            <family val="2"/>
            <scheme val="minor"/>
          </rPr>
          <t>Dekoji - remove finished koji.
Peak temperature 40-42°C maintained.
Final weight ~118% of dry rice.
Sweet chestnut aroma.
Cool and use within 1-2 days.
Can refrigerate up to 1 week.</t>
        </r>
      </text>
    </comment>
    <comment ref="B36" authorId="0" shapeId="0" xr:uid="{00000000-0006-0000-0200-000026000000}">
      <text>
        <r>
          <rPr>
            <sz val="11"/>
            <color theme="1"/>
            <rFont val="Calibri"/>
            <family val="2"/>
            <scheme val="minor"/>
          </rPr>
          <t>Moto Method (酛の種類, もとのしゅるい)
Moto (酛, もと) yeast starter method selection.
Sokujo (速醸, そくじょう): Fast, lactic acid added (乳酸添加, にゅうさんてんか) - 2 weeks
Kimoto (生酛, きもと): Traditional, yamaoroshi (山卸し, やまおろし) grinding - 30-40 days
Yamahai (山廃, やまはい): No grinding, natural lactic (天然乳酸, てんねんにゅうさん) - 25-30 days
Bodaimoto (菩提酛, ぼだいもと): Ancient, raw rice soak (生米浸漬, なままいしんせき) - 24 days
Method determines equipment (設備, せつび), timing (日程, にってい), and sake character (酒質, しゅしつ).</t>
        </r>
      </text>
    </comment>
    <comment ref="B37" authorId="0" shapeId="0" xr:uid="{00000000-0006-0000-0200-000027000000}">
      <text>
        <r>
          <rPr>
            <sz val="11"/>
            <color theme="1"/>
            <rFont val="Calibri"/>
            <family val="2"/>
            <scheme val="minor"/>
          </rPr>
          <t>Moto start date/time - when you begin moto fermentation</t>
        </r>
      </text>
    </comment>
    <comment ref="B41" authorId="0" shapeId="0" xr:uid="{00000000-0006-0000-0200-000028000000}">
      <text>
        <r>
          <rPr>
            <sz val="11"/>
            <color theme="1"/>
            <rFont val="Calibri"/>
            <family val="2"/>
            <scheme val="minor"/>
          </rPr>
          <t>Moto Rice (酛米, もとまい)
Rice allocated for moto (酛, もと).
Typically 6-10% of total batch rice (総米, そうまい).
Kimoto/Yamahai (生酛/山廃 きもと/やまはい) traditionally use higher %.
Scaled from Recipe moto allocation (酛配分, もとはいぶん).</t>
        </r>
      </text>
    </comment>
    <comment ref="B42" authorId="0" shapeId="0" xr:uid="{00000000-0006-0000-0200-000029000000}">
      <text>
        <r>
          <rPr>
            <sz val="11"/>
            <color theme="1"/>
            <rFont val="Calibri"/>
            <family val="2"/>
            <scheme val="minor"/>
          </rPr>
          <t>Moto Koji (酛麹, もとこうじ)
Koji (麹, こうじ) allocated for moto (酛, もと).
Typically 28-35% of moto rice (酛米, もとまい) weight.
Higher than moromi (醪, もろみ) ratio for strong enzyme (酵素, こうそ) activity.
Bodaimoto (菩提酛, ぼだいもと) uses up to 40%.</t>
        </r>
      </text>
    </comment>
    <comment ref="B43" authorId="0" shapeId="0" xr:uid="{00000000-0006-0000-0200-00002A000000}">
      <text>
        <r>
          <rPr>
            <sz val="11"/>
            <color theme="1"/>
            <rFont val="Calibri"/>
            <family val="2"/>
            <scheme val="minor"/>
          </rPr>
          <t>Moto water volume (liters) from Allocations</t>
        </r>
      </text>
    </comment>
    <comment ref="B44" authorId="0" shapeId="0" xr:uid="{00000000-0006-0000-0200-00002B000000}">
      <text>
        <r>
          <rPr>
            <sz val="11"/>
            <color theme="1"/>
            <rFont val="Calibri"/>
            <family val="2"/>
            <scheme val="minor"/>
          </rPr>
          <t>Moto kakemai weight (kg) from Allocations</t>
        </r>
      </text>
    </comment>
    <comment ref="B48" authorId="0" shapeId="0" xr:uid="{00000000-0006-0000-0200-00002C000000}">
      <text>
        <r>
          <rPr>
            <sz val="11"/>
            <color theme="1"/>
            <rFont val="Calibri"/>
            <family val="2"/>
            <scheme val="minor"/>
          </rPr>
          <t>Step 1 of moto workflow.
Workflow varies by moto method selected.
Check B33 for current method.</t>
        </r>
      </text>
    </comment>
    <comment ref="B49" authorId="0" shapeId="0" xr:uid="{00000000-0006-0000-0200-00002D000000}">
      <text>
        <r>
          <rPr>
            <sz val="11"/>
            <color theme="1"/>
            <rFont val="Calibri"/>
            <family val="2"/>
            <scheme val="minor"/>
          </rPr>
          <t>Moto workflow step.
Follow timing in column B.
Monitor temperature per method requirements.</t>
        </r>
      </text>
    </comment>
    <comment ref="B54" authorId="0" shapeId="0" xr:uid="{00000000-0006-0000-0200-00002E000000}">
      <text>
        <r>
          <rPr>
            <sz val="11"/>
            <color theme="1"/>
            <rFont val="Calibri"/>
            <family val="2"/>
            <scheme val="minor"/>
          </rPr>
          <t>Enter Soe date (first main addition).
This is Day 0 of moromi fermentation.</t>
        </r>
      </text>
    </comment>
    <comment ref="B56" authorId="0" shapeId="0" xr:uid="{00000000-0006-0000-0200-00002F000000}">
      <text>
        <r>
          <rPr>
            <sz val="11"/>
            <color theme="1"/>
            <rFont val="Calibri"/>
            <family val="2"/>
            <scheme val="minor"/>
          </rPr>
          <t>Toji: Select moromi fermentation style. Standard (20-25 days), Ginjo (25-35 days slower/colder), Daiginjo (30-40 days slowest), Quick (14-20 days warmer).</t>
        </r>
      </text>
    </comment>
    <comment ref="A61" authorId="0" shapeId="0" xr:uid="{00000000-0006-0000-0200-000030000000}">
      <text>
        <r>
          <rPr>
            <sz val="11"/>
            <color theme="1"/>
            <rFont val="Calibri"/>
            <family val="2"/>
            <scheme val="minor"/>
          </rPr>
          <t>SOE (添) - First addition
Day 0 of moromi. Smallest addition.
Watch for healthy fermentation start.</t>
        </r>
      </text>
    </comment>
    <comment ref="A62" authorId="0" shapeId="0" xr:uid="{00000000-0006-0000-0200-000031000000}">
      <text>
        <r>
          <rPr>
            <sz val="11"/>
            <color theme="1"/>
            <rFont val="Calibri"/>
            <family val="2"/>
            <scheme val="minor"/>
          </rPr>
          <t>ODORI (踊り) - Dancing/Rest day
No addition. Let yeast multiply.
Foam should be active.</t>
        </r>
      </text>
    </comment>
    <comment ref="B62" authorId="0" shapeId="0" xr:uid="{00000000-0006-0000-0200-000032000000}">
      <text>
        <r>
          <rPr>
            <sz val="11"/>
            <color theme="1"/>
            <rFont val="Calibri"/>
            <family val="2"/>
            <scheme val="minor"/>
          </rPr>
          <t>Moromi Profile (醪発酵プロファイル もろみはっこうぷろふぁいる)
Moromi (醪, もろみ) fermentation profile.
Standard (標準, ひょうじゅん): 20-25 days, 10-16°C
Ginjo (吟醸, ぎんじょう): 25-35 days, 6-14°C - slower, aromatic (低温長期, ていおんちょうき)
Daiginjo (大吟醸, だいぎんじょう): 30-40 days, 5-12°C - slowest, premium (最低温, さいていおん)
Quick (急造, きゅうぞう): 14-20 days, 12-18°C - warmer, faster (高温短期, こうおんたんき)
Lower temp (低温, ていおん) = more esters (エステル), cleaner profile.</t>
        </r>
      </text>
    </comment>
    <comment ref="A63" authorId="0" shapeId="0" xr:uid="{00000000-0006-0000-0200-000033000000}">
      <text>
        <r>
          <rPr>
            <sz val="11"/>
            <color theme="1"/>
            <rFont val="Calibri"/>
            <family val="2"/>
            <scheme val="minor"/>
          </rPr>
          <t>NAKA (仲) - Middle addition
Day 2. Medium-sized addition.
Doubles the mash volume.</t>
        </r>
      </text>
    </comment>
    <comment ref="B63" authorId="0" shapeId="0" xr:uid="{00000000-0006-0000-0200-000034000000}">
      <text>
        <r>
          <rPr>
            <sz val="11"/>
            <color theme="1"/>
            <rFont val="Calibri"/>
            <family val="2"/>
            <scheme val="minor"/>
          </rPr>
          <t>Soe date (Day 0) - first addition date for moromi fermentation</t>
        </r>
      </text>
    </comment>
    <comment ref="A64" authorId="0" shapeId="0" xr:uid="{00000000-0006-0000-0200-000035000000}">
      <text>
        <r>
          <rPr>
            <sz val="11"/>
            <color theme="1"/>
            <rFont val="Calibri"/>
            <family val="2"/>
            <scheme val="minor"/>
          </rPr>
          <t>TOME (留) - Final addition
Day 3. Largest addition.
Completes the main mash.</t>
        </r>
      </text>
    </comment>
    <comment ref="B64" authorId="0" shapeId="0" xr:uid="{00000000-0006-0000-0200-000036000000}">
      <text>
        <r>
          <rPr>
            <sz val="11"/>
            <color theme="1"/>
            <rFont val="Calibri"/>
            <family val="2"/>
            <scheme val="minor"/>
          </rPr>
          <t>Days since soe addition.
Auto-calculated from current date.
Use to track fermentation progress and foam stages.</t>
        </r>
      </text>
    </comment>
    <comment ref="B67" authorId="0" shapeId="0" xr:uid="{00000000-0006-0000-0200-000037000000}">
      <text>
        <r>
          <rPr>
            <sz val="11"/>
            <color theme="1"/>
            <rFont val="Calibri"/>
            <family val="2"/>
            <scheme val="minor"/>
          </rPr>
          <t>Soe (添, そえ) - First Addition
Hatsu-zoe (初添え はつぞえ) - first rice/koji/water (米/麹/水 まい/こうじ/みず) to moto (酛, もと).
Smallest addition (~15% of moromi rice 醪米 もろみまい).
Doubles volume, reduces yeast density (酵母密度, こうぼみつど).
Fermentation (発酵, はっこう) should resume within hours.</t>
        </r>
      </text>
    </comment>
    <comment ref="B68" authorId="0" shapeId="0" xr:uid="{00000000-0006-0000-0200-000038000000}">
      <text>
        <r>
          <rPr>
            <sz val="11"/>
            <color theme="1"/>
            <rFont val="Calibri"/>
            <family val="2"/>
            <scheme val="minor"/>
          </rPr>
          <t>Odori (踊り おどり) - Dancing/Rest Day
No addition - let yeast (酵母, こうぼ) recover and multiply.
Named for 'dancing' (踊り おどり) bubble activity.
Critical rest before larger additions.</t>
        </r>
      </text>
    </comment>
    <comment ref="F68" authorId="0" shapeId="0" xr:uid="{00000000-0006-0000-0200-000039000000}">
      <text>
        <r>
          <rPr>
            <sz val="11"/>
            <color theme="1"/>
            <rFont val="Calibri"/>
            <family val="2"/>
            <scheme val="minor"/>
          </rPr>
          <t>Soe date (Day 0)</t>
        </r>
      </text>
    </comment>
    <comment ref="B69" authorId="0" shapeId="0" xr:uid="{00000000-0006-0000-0200-00003A000000}">
      <text>
        <r>
          <rPr>
            <sz val="11"/>
            <color theme="1"/>
            <rFont val="Calibri"/>
            <family val="2"/>
            <scheme val="minor"/>
          </rPr>
          <t>Naka (仲, なか) - Second Addition
Naka-zoe (仲添え なかぞえ) - medium addition.
~33% of moromi rice (醪米, もろみまい).
Again doubles the batch volume.
Fermentation (発酵, はっこう) accelerates after this.</t>
        </r>
      </text>
    </comment>
    <comment ref="F69" authorId="0" shapeId="0" xr:uid="{00000000-0006-0000-0200-00003B000000}">
      <text>
        <r>
          <rPr>
            <sz val="11"/>
            <color theme="1"/>
            <rFont val="Calibri"/>
            <family val="2"/>
            <scheme val="minor"/>
          </rPr>
          <t>Soe date + 1 day (Odori)</t>
        </r>
      </text>
    </comment>
    <comment ref="B70" authorId="0" shapeId="0" xr:uid="{00000000-0006-0000-0200-00003C000000}">
      <text>
        <r>
          <rPr>
            <sz val="11"/>
            <color theme="1"/>
            <rFont val="Calibri"/>
            <family val="2"/>
            <scheme val="minor"/>
          </rPr>
          <t>Tome (留, とめ) - Third Addition
Tome-zoe (留添え とめぞえ) - final addition.
Largest addition (~50% of moromi rice 醪米 もろみまい).
Completes sandan-jikomi (三段仕込み さんだんじこみ) process.
Main fermentation (発酵, はっこう) begins in earnest.</t>
        </r>
      </text>
    </comment>
    <comment ref="F70" authorId="0" shapeId="0" xr:uid="{00000000-0006-0000-0200-00003D000000}">
      <text>
        <r>
          <rPr>
            <sz val="11"/>
            <color theme="1"/>
            <rFont val="Calibri"/>
            <family val="2"/>
            <scheme val="minor"/>
          </rPr>
          <t>Soe date + 2 days (Naka)</t>
        </r>
      </text>
    </comment>
    <comment ref="F71" authorId="0" shapeId="0" xr:uid="{00000000-0006-0000-0200-00003E000000}">
      <text>
        <r>
          <rPr>
            <sz val="11"/>
            <color theme="1"/>
            <rFont val="Calibri"/>
            <family val="2"/>
            <scheme val="minor"/>
          </rPr>
          <t>Soe date + 3 days (Tome)</t>
        </r>
      </text>
    </comment>
    <comment ref="F72" authorId="0" shapeId="0" xr:uid="{00000000-0006-0000-0200-00003F000000}">
      <text>
        <r>
          <rPr>
            <sz val="11"/>
            <color theme="1"/>
            <rFont val="Calibri"/>
            <family val="2"/>
            <scheme val="minor"/>
          </rPr>
          <t>Soe date + 9 days (Yondan)</t>
        </r>
      </text>
    </comment>
    <comment ref="B76" authorId="0" shapeId="0" xr:uid="{00000000-0006-0000-0200-000040000000}">
      <text>
        <r>
          <rPr>
            <sz val="11"/>
            <color theme="1"/>
            <rFont val="Calibri"/>
            <family val="2"/>
            <scheme val="minor"/>
          </rPr>
          <t>Moromi workflow step.
Track foam stage progression.
Temperature control critical.
Lower temp = more esters/aroma.</t>
        </r>
      </text>
    </comment>
    <comment ref="A90" authorId="0" shapeId="0" xr:uid="{00000000-0006-0000-0200-000041000000}">
      <text>
        <r>
          <rPr>
            <sz val="11"/>
            <color theme="1"/>
            <rFont val="Calibri"/>
            <family val="2"/>
            <scheme val="minor"/>
          </rPr>
          <t>Dynamic equipment list based on batch size and methods.
Quantities calculate from:
- Total rice (Recipe!B4)
- Koji method (Plan!B4)
- Moto method (Plan!B33)
- Stage allocations
Use 'Have?' column to track inventory.</t>
        </r>
      </text>
    </comment>
    <comment ref="B92" authorId="0" shapeId="0" xr:uid="{00000000-0006-0000-0200-000042000000}">
      <text>
        <r>
          <rPr>
            <sz val="11"/>
            <color theme="1"/>
            <rFont val="Calibri"/>
            <family val="2"/>
            <scheme val="minor"/>
          </rPr>
          <t>Washing Bags (米袋, こめぶくろ)
Draw-string mesh bags for rice washing (洗米, せんまい).
22" square standard size, holds ~5kg dry rice (白米, はくまい).
Submerge and agitate to remove bran residue (糠, ぬか).
Wash until water runs clear (水が透明になるまで みずがとうめいになるまで) - 3-5 rinses.</t>
        </r>
      </text>
    </comment>
    <comment ref="D92" authorId="0" shapeId="0" xr:uid="{00000000-0006-0000-0200-000043000000}">
      <text>
        <r>
          <rPr>
            <sz val="11"/>
            <color theme="1"/>
            <rFont val="Calibri"/>
            <family val="2"/>
            <scheme val="minor"/>
          </rPr>
          <t>Washing Bags (米袋, こめぶくろ)
Based on LARGEST STAGE rice, not total batch.
You reuse bags for each stage on brew day.
5kg per bag.</t>
        </r>
      </text>
    </comment>
    <comment ref="B93" authorId="0" shapeId="0" xr:uid="{00000000-0006-0000-0200-000044000000}">
      <text>
        <r>
          <rPr>
            <sz val="11"/>
            <color theme="1"/>
            <rFont val="Calibri"/>
            <family val="2"/>
            <scheme val="minor"/>
          </rPr>
          <t>Soaking Vessel (浸漬桶, しんせきおけ)
Water volume = 1.5× rice weight (米重量, こめじゅうりょう) minimum.
Soak time (浸漬時間, しんせきじかん) varies by polish (精米歩合, せいまいぶあい):
  70%: 8-12 hours (時間, じかん)
  60%: 4-8 hours
  50%: 1-3 hours
  40%: seconds only (秒単位, びょうたんい) - limited absorption (限定吸水, げんていきゅうすい)
Target: 30% water absorption (吸水率, きゅうすいりつ).</t>
        </r>
      </text>
    </comment>
    <comment ref="B94" authorId="0" shapeId="0" xr:uid="{00000000-0006-0000-0200-000045000000}">
      <text>
        <r>
          <rPr>
            <sz val="11"/>
            <color theme="1"/>
            <rFont val="Calibri"/>
            <family val="2"/>
            <scheme val="minor"/>
          </rPr>
          <t>Draining Baskets (ざる)
Bamboo or stainless steel mesh.
Drain (水切り みずきり) for 30-60 minutes after soaking.
Rice should be tsuyudare (つゆだれ) - glistens but no dripping.
Size for largest single steaming (蒸し, むし) batch.</t>
        </r>
      </text>
    </comment>
    <comment ref="B95" authorId="0" shapeId="0" xr:uid="{00000000-0006-0000-0200-000046000000}">
      <text>
        <r>
          <rPr>
            <sz val="11"/>
            <color theme="1"/>
            <rFont val="Calibri"/>
            <family val="2"/>
            <scheme val="minor"/>
          </rPr>
          <t>Rice Steamer (甑, こしき)
Traditional: Cedar (杉, すぎ) wood, wide shallow shape
Modern: Stainless steel (ステンレス), multi-tier
Steam time (蒸し時間, むしじかん) 40-60 minutes until:
  - No white core (芯, しん) visible
  - Gaihannai (外硬内軟, がいこうないなん) texture - firm outside, soft inside
  - 40% moisture (水分, すいぶん) content
Capacity sized for largest batch + koji rice (麹米, こうじまい).</t>
        </r>
      </text>
    </comment>
    <comment ref="B96" authorId="0" shapeId="0" xr:uid="{00000000-0006-0000-0200-000047000000}">
      <text>
        <r>
          <rPr>
            <sz val="11"/>
            <color theme="1"/>
            <rFont val="Calibri"/>
            <family val="2"/>
            <scheme val="minor"/>
          </rPr>
          <t>Steamer Cloths (蒸し布, むしぬの)
Cotton or hemp, 28"×40" standard.
Line koshiki (甑, こしき) basket to prevent sticking.
One cloth per 5kg rice layer.
Boil before first use (初使用前に煮沸, しょしようまえにしゃふつ) to remove sizing.
Wash and dry completely between uses.</t>
        </r>
      </text>
    </comment>
    <comment ref="D96" authorId="0" shapeId="0" xr:uid="{00000000-0006-0000-0200-000048000000}">
      <text>
        <r>
          <rPr>
            <sz val="11"/>
            <color theme="1"/>
            <rFont val="Calibri"/>
            <family val="2"/>
            <scheme val="minor"/>
          </rPr>
          <t>Steamer Cloths (蒸し布, むしぬの)
Based on LARGEST STAGE steamed weight.
One cloth per 5kg, plus spare.
Reuse for each steaming.</t>
        </r>
      </text>
    </comment>
    <comment ref="B97" authorId="0" shapeId="0" xr:uid="{00000000-0006-0000-0200-000049000000}">
      <text>
        <r>
          <rPr>
            <sz val="11"/>
            <color theme="1"/>
            <rFont val="Calibri"/>
            <family val="2"/>
            <scheme val="minor"/>
          </rPr>
          <t>Cooling Surface (放冷台, ほうれいだい)
Stainless steel table or clean cloth spread.
Spread steamed rice thin to cool (薄く広げて冷却 うすくひろげてれいきゃく).
Target temps:
  Koji rice (麹米, こうじまい): Cool to 35°C for inoculation (種付け たねつけ)
  Kake rice (掛米, かけまい): Cool to 10-12°C for moromi (醪, もろみ)
Fan cooling (扇風機, せんぷうき) or night air (夜風, よかぜ) traditional.</t>
        </r>
      </text>
    </comment>
    <comment ref="B98" authorId="0" shapeId="0" xr:uid="{00000000-0006-0000-0200-00004A000000}">
      <text>
        <r>
          <rPr>
            <sz val="11"/>
            <color theme="1"/>
            <rFont val="Calibri"/>
            <family val="2"/>
            <scheme val="minor"/>
          </rPr>
          <t>Koji Trays (麹蓋, こうじぶた)
Traditional shallow cedar (杉, すぎ) trays, ~30×45cm.
Hold 1.5kg steamed rice (蒸米, むしまい) each.
Used in futa-koji method (蓋麹法, ふたこうじほう) for premium sake.
Allows precise temperature control (温度管理, おんどかんり) per tray.
Tsumi-kae (積み替え つみかえ) - stack and rotate every 3-5 hours.
Labor intensive (労力大, ろうりょくだい) but highest quality (最高品質, さいこうひんしつ).</t>
        </r>
      </text>
    </comment>
    <comment ref="D98" authorId="0" shapeId="0" xr:uid="{00000000-0006-0000-0200-00004B000000}">
      <text>
        <r>
          <rPr>
            <sz val="11"/>
            <color theme="1"/>
            <rFont val="Calibri"/>
            <family val="2"/>
            <scheme val="minor"/>
          </rPr>
          <t>Koji Trays (麹蓋, こうじぶた)
For futa-koji (蓋麹) only. 1.5kg/tray.
If muro capacity set: sized for ONE batch
If muro = 0: sized for total koji rice
Reuse trays for multiple batches.</t>
        </r>
      </text>
    </comment>
    <comment ref="B99" authorId="0" shapeId="0" xr:uid="{00000000-0006-0000-0200-00004C000000}">
      <text>
        <r>
          <rPr>
            <sz val="11"/>
            <color theme="1"/>
            <rFont val="Calibri"/>
            <family val="2"/>
            <scheme val="minor"/>
          </rPr>
          <t>Plastic Tubs (盥, たらい)
Ueda method (上田式, うえだしき) containers.
Food-grade (食品グレード しょくひんぐれーど) plastic, ~15kg capacity.
Modern alternative to wooden trays.
Non-porous (非吸水性, ひきゅうすいせい) = no humidity management (湿度管理, しつどかんり) needed.
Easier cleaning and sanitation (洗浄/殺菌 せんじょう/さっきん).
Good for craft/homebrew scale.</t>
        </r>
      </text>
    </comment>
    <comment ref="D99" authorId="0" shapeId="0" xr:uid="{00000000-0006-0000-0200-00004D000000}">
      <text>
        <r>
          <rPr>
            <sz val="11"/>
            <color theme="1"/>
            <rFont val="Calibri"/>
            <family val="2"/>
            <scheme val="minor"/>
          </rPr>
          <t>Koji Tubs (盥, たらい)
For Ueda method (上田式) only. 15kg/tub.
If muro capacity set: sized for ONE batch
If muro = 0: sized for total koji rice</t>
        </r>
      </text>
    </comment>
    <comment ref="B100" authorId="0" shapeId="0" xr:uid="{00000000-0006-0000-0200-00004E000000}">
      <text>
        <r>
          <rPr>
            <sz val="11"/>
            <color theme="1"/>
            <rFont val="Calibri"/>
            <family val="2"/>
            <scheme val="minor"/>
          </rPr>
          <t>Koji Boxes (箱, はこ)
Larger containers, 10-15kg capacity.
Middle ground between trays (蓋, ふた) and tubs (盥, たらい).
Less labor than futa-koji method (蓋麹法, ふたこうじほう).
Good for sō-haze (総ハゼ そうはぜ) style koji (麹, こうじ).</t>
        </r>
      </text>
    </comment>
    <comment ref="D100" authorId="0" shapeId="0" xr:uid="{00000000-0006-0000-0200-00004F000000}">
      <text>
        <r>
          <rPr>
            <sz val="11"/>
            <color theme="1"/>
            <rFont val="Calibri"/>
            <family val="2"/>
            <scheme val="minor"/>
          </rPr>
          <t>Koji Boxes (箱, はこ)
For hako-koji (箱麹) only. 10kg/box.
If muro capacity set: sized for ONE batch
If muro = 0: sized for total koji rice</t>
        </r>
      </text>
    </comment>
    <comment ref="B101" authorId="0" shapeId="0" xr:uid="{00000000-0006-0000-0200-000050000000}">
      <text>
        <r>
          <rPr>
            <sz val="11"/>
            <color theme="1"/>
            <rFont val="Calibri"/>
            <family val="2"/>
            <scheme val="minor"/>
          </rPr>
          <t>Wrapping Cloths (包み布 つつみぬの)
Cotton cloths for bundling koji rice (麹米, こうじまい).
Used during toko (床, とこ) floor initial incubation.
Maintains humidity and warmth (保温保湿, ほおんほしつ).
One per 5kg rice batch.
Remove at kirikaeshi (切り返し きりかえし) first mixing.</t>
        </r>
      </text>
    </comment>
    <comment ref="D101" authorId="0" shapeId="0" xr:uid="{00000000-0006-0000-0200-000051000000}">
      <text>
        <r>
          <rPr>
            <sz val="11"/>
            <color theme="1"/>
            <rFont val="Calibri"/>
            <family val="2"/>
            <scheme val="minor"/>
          </rPr>
          <t>Wrapping Cloths (包み布 つつみぬの)
One per 5kg steamed koji rice.
Sized for single muro batch.
Reuse for subsequent batches.</t>
        </r>
      </text>
    </comment>
    <comment ref="B102" authorId="0" shapeId="0" xr:uid="{00000000-0006-0000-0200-000052000000}">
      <text>
        <r>
          <rPr>
            <sz val="11"/>
            <color theme="1"/>
            <rFont val="Calibri"/>
            <family val="2"/>
            <scheme val="minor"/>
          </rPr>
          <t>Incubation Chamber (麹室, こうじむろ)
Temperature (温度, おんど): 28-42°C controlled
Humidity (湿度, しつど): 60-90% depending on stage
Size: 2-3 sq m minimum for small scale
Options:
  Dedicated room (専用室, せんようしつ) with heater/humidifier
  Insulated cabinet (断熱キャビネット だんねつきゃびねっと) with heat mat
  Modified cooler (改造クーラーボックス かいぞうくーらーぼっくす) with temp control
Critical: stable temp (安定した温度 あんていしたおんど), good ventilation (良好な換気 りょうこうなかんき).</t>
        </r>
      </text>
    </comment>
    <comment ref="B103" authorId="0" shapeId="0" xr:uid="{00000000-0006-0000-0200-000053000000}">
      <text>
        <r>
          <rPr>
            <sz val="11"/>
            <color theme="1"/>
            <rFont val="Calibri"/>
            <family val="2"/>
            <scheme val="minor"/>
          </rPr>
          <t>Moto Vessel (酒母桶, しゅぼおけ)
Small tank for yeast starter (酵母スターター こうぼすたーたー).
Size: moto volume (酛容量, もとようりょう) × 1.5 for headspace.
Traditional: wooden tub (木桶, きおけ)
Modern: stainless (ステンレス) or food-grade plastic (食品グレードプラスチック)
Must allow:
  - Easy stirring (攪拌, かくはん) access
  - Temperature monitoring (温度監視, おんどかんし)
  - Covering (not airtight 密閉 みっぺい)</t>
        </r>
      </text>
    </comment>
    <comment ref="B104" authorId="0" shapeId="0" xr:uid="{00000000-0006-0000-0200-000054000000}">
      <text>
        <r>
          <rPr>
            <sz val="11"/>
            <color theme="1"/>
            <rFont val="Calibri"/>
            <family val="2"/>
            <scheme val="minor"/>
          </rPr>
          <t>Shallow Tubs (半切, はんぎり)
Used in kimoto (生酛, きもと) for temoto (手酛, てもと) division.
Traditional: 8 tubs (8個 はちこ), 5-10L each.
Rice/koji/water (米/麹/水 まい/こうじ/みず) divided among tubs.
Mixed in rotating shifts overnight (交代で一晩中混合, こうたいでひとばんじゅうこんごう).
Combined into tsubodai (壺代, つぼだい) after yamaoroshi (山卸し, やまおろし).
Cedar or cypress (杉/檜 すぎ/ひのき) wood traditional.</t>
        </r>
      </text>
    </comment>
    <comment ref="B105" authorId="0" shapeId="0" xr:uid="{00000000-0006-0000-0200-000055000000}">
      <text>
        <r>
          <rPr>
            <sz val="11"/>
            <color theme="1"/>
            <rFont val="Calibri"/>
            <family val="2"/>
            <scheme val="minor"/>
          </rPr>
          <t>Mixing Paddle (櫂, かい)
Long wooden pole, 1-2 meters.
Used for yamaoroshi (山卸し, やまおろし) grinding in kimoto (生酛, きもと).
Also called kaibō (櫂棒, かいぼう) when paddle-shaped.
Pole-ramming (突き作業 つきさぎょう) grinds rice/koji (米/麹 まい/こうじ) to paste.
Moto-suri songs (酛摺り唄 もとすりうた) maintain rhythm.
10-12 hours work over 3 days.</t>
        </r>
      </text>
    </comment>
    <comment ref="B106" authorId="0" shapeId="0" xr:uid="{00000000-0006-0000-0200-000056000000}">
      <text>
        <r>
          <rPr>
            <sz val="11"/>
            <color theme="1"/>
            <rFont val="Calibri"/>
            <family val="2"/>
            <scheme val="minor"/>
          </rPr>
          <t>Warming Containers (抱樽, だきだる)
Hot water jugs for warming (暖気, だき) moto (酛, もと).
Used in kimoto (生酛, きもと) dakidaru phase (抱樽期, だきだるき) - Days 4-14.
Placed in/around moto vessel (酛容器, もとようき).
Raise temp 2-3°C, allow natural cooling.
Zigzag ramping (ジグザグ昇温 じぐざぐしょうおん) to ~20°C target.
Modern: immersion heater (投げ込みヒーター なげこみひーたー) or water bath.</t>
        </r>
      </text>
    </comment>
    <comment ref="B107" authorId="0" shapeId="0" xr:uid="{00000000-0006-0000-0200-000057000000}">
      <text>
        <r>
          <rPr>
            <sz val="11"/>
            <color theme="1"/>
            <rFont val="Calibri"/>
            <family val="2"/>
            <scheme val="minor"/>
          </rPr>
          <t>Primary Fermenter (醪桶, もろみおけ)
Main fermentation vessel (発酵容器, はっこうようき).
Size: 2× theoretical volume for foam (泡, あわ)!
Taka-awa (高泡, たかあわ) high foam stage needs headspace.
Traditional: roku-shaku-oke (六尺桶, ろくしゃくおけ) 6-foot vat
Modern: stainless tanks (ステンレスタンク) with cooling
Homebrew: food-grade bucket (食品グレードバケツ) / carboy
Open top or loose cover (CO2 escape).</t>
        </r>
      </text>
    </comment>
    <comment ref="B108" authorId="0" shapeId="0" xr:uid="{00000000-0006-0000-0200-000058000000}">
      <text>
        <r>
          <rPr>
            <sz val="11"/>
            <color theme="1"/>
            <rFont val="Calibri"/>
            <family val="2"/>
            <scheme val="minor"/>
          </rPr>
          <t>Moromi Paddle (櫂, かい)
Long paddle for kai-ire (櫂入れ かいいれ) twice-daily stirring.
Homogenizes temperature (温度均一化, おんどきんいつか) throughout tank.
Releases excess CO2.
Resuspends settled solids (沈殿物, ちんでんぶつ).
Gentle stirring (優しく攪拌 やさしくかくはん) - don't over-aerate (過度に曝気, かどにばっき).</t>
        </r>
      </text>
    </comment>
    <comment ref="B109" authorId="0" shapeId="0" xr:uid="{00000000-0006-0000-0200-000059000000}">
      <text>
        <r>
          <rPr>
            <sz val="11"/>
            <color theme="1"/>
            <rFont val="Calibri"/>
            <family val="2"/>
            <scheme val="minor"/>
          </rPr>
          <t>Cover/Airlock (蓋 ふた / エアロック)
Loose-fitting lid (蓋, ふた) or cloth cover.
Allows CO2 to escape.
Prevents contamination (汚染, おせん) / insects (虫, むし).
NOT airtight (密閉, みっぺい) - sake is open fermentation (開放発酵, かいほうはっこう).
Traditional: wooden lid with gaps.</t>
        </r>
      </text>
    </comment>
    <comment ref="B110" authorId="0" shapeId="0" xr:uid="{00000000-0006-0000-0200-00005A000000}">
      <text>
        <r>
          <rPr>
            <sz val="11"/>
            <color theme="1"/>
            <rFont val="Calibri"/>
            <family val="2"/>
            <scheme val="minor"/>
          </rPr>
          <t>Press Bags (酒袋, さかぶくろ)
Canvas or synthetic bags for pressing.
Each bag holds ~6L of moromi.
Traditional fune (槽, ふね) pressing:
Load bags, press, empty, reload.
Bags are reused across multiple runs.
Quantity shown is for ONE press load.
Actual need depends on your fune size.</t>
        </r>
      </text>
    </comment>
    <comment ref="D110" authorId="0" shapeId="0" xr:uid="{00000000-0006-0000-0200-00005B000000}">
      <text>
        <r>
          <rPr>
            <sz val="11"/>
            <color theme="1"/>
            <rFont val="Calibri"/>
            <family val="2"/>
            <scheme val="minor"/>
          </rPr>
          <t>Press Bags (酒袋, さかぶくろ)
Based on FUNE CAPACITY, not total moromi!
6L moromi per bag.
If fune capacity set: bags for ONE press run
If fune = 0: bags for total moromi
Reuse bags for each pressing run.
Wash and dry between runs.</t>
        </r>
      </text>
    </comment>
    <comment ref="B111" authorId="0" shapeId="0" xr:uid="{00000000-0006-0000-0200-00005C000000}">
      <text>
        <r>
          <rPr>
            <sz val="11"/>
            <color theme="1"/>
            <rFont val="Calibri"/>
            <family val="2"/>
            <scheme val="minor"/>
          </rPr>
          <t>Traditional Press (槽, ふね)
Wooden or stainless box for pressing (上槽, じょうそう).
Bags (酒袋, さかぶくろ) stacked inside, lid pressed down (蓋で加圧, ふたでかあつ).
Traditional: hanegi (撥ね木 はねぎ) lever with stone weights
Modern: hydraulic (油圧, ゆあつ) or screw press
Pressing (搾り しぼり) phases:
  Arabashiri (荒走り あらばしり): free-run, first drips
  Nakadori (中取り なかどり): middle run, best quality (最高品質, さいこうひんしつ)
  Seme (責め せめ): final press, rougher</t>
        </r>
      </text>
    </comment>
    <comment ref="B112" authorId="0" shapeId="0" xr:uid="{00000000-0006-0000-0200-00005D000000}">
      <text>
        <r>
          <rPr>
            <sz val="11"/>
            <color theme="1"/>
            <rFont val="Calibri"/>
            <family val="2"/>
            <scheme val="minor"/>
          </rPr>
          <t>Drip Collection (垂れ口 たれくち)
Vessel to catch pressed sake (搾り酒 しぼりざけ).
Positioned under fune (槽, ふね) drain.
Size for expected yield (予想収量, よそうしゅうりょう) + margin.
Stainless (ステンレス) or glass (ガラス) preferred.
Keep covered to prevent contamination (汚染, おせん).</t>
        </r>
      </text>
    </comment>
    <comment ref="B113" authorId="0" shapeId="0" xr:uid="{00000000-0006-0000-0200-00005E000000}">
      <text>
        <r>
          <rPr>
            <sz val="11"/>
            <color theme="1"/>
            <rFont val="Calibri"/>
            <family val="2"/>
            <scheme val="minor"/>
          </rPr>
          <t>Secondary Vessels (貯蔵桶, ちょぞうおけ)
For racking/clarification (澱引き おりびき) and aging (熟成, じゅくせい).
Glass carboys (ガラスカーボイ) ideal - visible clarity.
4L size convenient for handling.
Allow lees (滓, おり) to settle.
Rack off clear sake after 1-2 weeks.</t>
        </r>
      </text>
    </comment>
    <comment ref="B114" authorId="0" shapeId="0" xr:uid="{00000000-0006-0000-0200-00005F000000}">
      <text>
        <r>
          <rPr>
            <sz val="11"/>
            <color theme="1"/>
            <rFont val="Calibri"/>
            <family val="2"/>
            <scheme val="minor"/>
          </rPr>
          <t>Bottles (瓶, びん)
Standard sake bottle (酒瓶, さかびん): 720mL (4 go 合 ごう).
Also common: 1.8L isshobin (一升瓶, いっしょうびん).
Dark glass (茶色ガラス ちゃいろがらす) protects from light (光, ひかり).
Crown caps (王冠, おうかん) or screw tops (スクリューキャップ).
Sanitize (殺菌, さっきん) before filling.</t>
        </r>
      </text>
    </comment>
    <comment ref="B115" authorId="0" shapeId="0" xr:uid="{00000000-0006-0000-0200-000060000000}">
      <text>
        <r>
          <rPr>
            <sz val="11"/>
            <color theme="1"/>
            <rFont val="Calibri"/>
            <family val="2"/>
            <scheme val="minor"/>
          </rPr>
          <t>Scale (秤, はかり)
Capacity: at least total rice weight (総米重量, そうまいじゅうりょう).
Precision (精度, せいど): 0.1g for tane-koji (種麹, たねこうじ) dosing.
Koji spores (種麹, たねこうじ): 0.05-0.2g per kg rice.
Accuracy critical for reproducibility (再現性, さいげんせい).</t>
        </r>
      </text>
    </comment>
    <comment ref="B116" authorId="0" shapeId="0" xr:uid="{00000000-0006-0000-0200-000061000000}">
      <text>
        <r>
          <rPr>
            <sz val="11"/>
            <color theme="1"/>
            <rFont val="Calibri"/>
            <family val="2"/>
            <scheme val="minor"/>
          </rPr>
          <t>Thermometer (温度計, おんどけい)
Multiple needed:
  Room (室温, しつおん) / muro (麹室, こうじむろ) ambient temperature
  Product (品温, ひんおん) core temperature - probe
  Instant-read (瞬間読み しゅんかんよみ) for spot checks
Critical temps (温度, おんど) to monitor:
  Koji (麹, こうじ): 30-42°C range
  Moto (酛, もと): 5-20°C depending on stage
  Moromi (醪, もろみ): 6-18°C fermentation</t>
        </r>
      </text>
    </comment>
    <comment ref="B117" authorId="0" shapeId="0" xr:uid="{00000000-0006-0000-0200-000062000000}">
      <text>
        <r>
          <rPr>
            <sz val="11"/>
            <color theme="1"/>
            <rFont val="Calibri"/>
            <family val="2"/>
            <scheme val="minor"/>
          </rPr>
          <t>pH Meter (pH計 ぺーはーけい)
Digital meter or test strips.
Monitor moto (酛, もと) acidification (酸性化, さんせいか):
  Target: pH 3.5-4.0
  Total acidity (総酸, そうさん): &gt;3.0 for safety
Moromi (醪, もろみ) pH typically 4.0-4.5.
Calibrate regularly (定期的に校正, ていきてきにこうせい).</t>
        </r>
      </text>
    </comment>
    <comment ref="B118" authorId="0" shapeId="0" xr:uid="{00000000-0006-0000-0200-000063000000}">
      <text>
        <r>
          <rPr>
            <sz val="11"/>
            <color theme="1"/>
            <rFont val="Calibri"/>
            <family val="2"/>
            <scheme val="minor"/>
          </rPr>
          <t>Hydrometer (糖度計, とうどけい)
Measures sugar (糖度, とうど) / density (密度, みつど).
Sake uses Baumé (ボーメ) or Nihonshudo (日本酒度 にほんしゅど SMV).
Track fermentation progress (発酵進行, はっこうしんこう):
  Start: +40 to +50 Bé
  Finish: 0 to -3 Bé - dry (辛口, からくち)
Refractometer (屈折計, くっせつけい) needs less sample.</t>
        </r>
      </text>
    </comment>
    <comment ref="B119" authorId="0" shapeId="0" xr:uid="{00000000-0006-0000-0200-000064000000}">
      <text>
        <r>
          <rPr>
            <sz val="11"/>
            <color theme="1"/>
            <rFont val="Calibri"/>
            <family val="2"/>
            <scheme val="minor"/>
          </rPr>
          <t>Timer (タイマー)
Critical for:
  Limited absorption (限定吸水, げんていきゅうすい) soaking - seconds (秒単位, びょうたんい)!
  Steaming duration (蒸し時間, むしじかん): 40-60 min (分, ふん)
  Koji work intervals (麹手入れ こうじていれ): 3-5 hours (時間, じかん)
  Pasteurization (火入れ ひいれ) hold time
Smartphone works, but dedicated timer better.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4" authorId="0" shapeId="0" xr:uid="{00000000-0006-0000-0300-000001000000}">
      <text>
        <r>
          <rPr>
            <sz val="11"/>
            <color theme="1"/>
            <rFont val="Calibri"/>
            <family val="2"/>
            <scheme val="minor"/>
          </rPr>
          <t>Enter your measured steamed rice weight.
Steamed rice = Dry × 1.40</t>
        </r>
      </text>
    </comment>
    <comment ref="B6" authorId="0" shapeId="0" xr:uid="{00000000-0006-0000-0300-000002000000}">
      <text>
        <r>
          <rPr>
            <sz val="11"/>
            <color theme="1"/>
            <rFont val="Calibri"/>
            <family val="2"/>
            <scheme val="minor"/>
          </rPr>
          <t>Enter your measured soaked rice weight.
Soaked rice = Dry × 1.30</t>
        </r>
      </text>
    </comment>
    <comment ref="E8" authorId="0" shapeId="0" xr:uid="{00000000-0006-0000-0300-000003000000}">
      <text>
        <r>
          <rPr>
            <sz val="11"/>
            <color theme="1"/>
            <rFont val="Calibri"/>
            <family val="2"/>
            <scheme val="minor"/>
          </rPr>
          <t>ABV₁ × V₁ = ABV₂ × V₂
Water to add = Final - Current</t>
        </r>
      </text>
    </comment>
    <comment ref="B10" authorId="0" shapeId="0" xr:uid="{00000000-0006-0000-0300-000004000000}">
      <text>
        <r>
          <rPr>
            <sz val="11"/>
            <color theme="1"/>
            <rFont val="Calibri"/>
            <family val="2"/>
            <scheme val="minor"/>
          </rPr>
          <t>Water absorption rate (吸水率).
Ideal: 28-32% for most sake.
Ginjo rice: aim for 28-30%.
Table rice: can go 30-32%.</t>
        </r>
      </text>
    </comment>
    <comment ref="E11" authorId="0" shapeId="0" xr:uid="{00000000-0006-0000-0300-000005000000}">
      <text>
        <r>
          <rPr>
            <sz val="11"/>
            <color theme="1"/>
            <rFont val="Calibri"/>
            <family val="2"/>
            <scheme val="minor"/>
          </rPr>
          <t>Enter SG reading.
Example: 1.000, 0.998, 1.045</t>
        </r>
      </text>
    </comment>
    <comment ref="E12" authorId="0" shapeId="0" xr:uid="{00000000-0006-0000-0300-000006000000}">
      <text>
        <r>
          <rPr>
            <sz val="11"/>
            <color theme="1"/>
            <rFont val="Calibri"/>
            <family val="2"/>
            <scheme val="minor"/>
          </rPr>
          <t>Sake Meter Value (日本酒度)
+値 = Dry (辛口)
-値 = Sweet (甘口)
+10 to +15: Very dry
+3 to +10: Dry
-3 to +3: Neutral
-10 to -3: Sweet
&lt;-10: Very sweet</t>
        </r>
      </text>
    </comment>
    <comment ref="B13" authorId="0" shapeId="0" xr:uid="{00000000-0006-0000-0300-000007000000}">
      <text>
        <r>
          <rPr>
            <sz val="11"/>
            <color theme="1"/>
            <rFont val="Calibri"/>
            <family val="2"/>
            <scheme val="minor"/>
          </rPr>
          <t>Weight immediately after steaming.
Before any drying/cooling.</t>
        </r>
      </text>
    </comment>
    <comment ref="B14" authorId="0" shapeId="0" xr:uid="{00000000-0006-0000-0300-000008000000}">
      <text>
        <r>
          <rPr>
            <sz val="11"/>
            <color theme="1"/>
            <rFont val="Calibri"/>
            <family val="2"/>
            <scheme val="minor"/>
          </rPr>
          <t>Target weight after dry-down.
Multiply steamed weight by 0.85.
This removes ~15% moisture, bringing
rice from ~40% to ~28-31% moisture.
Stop drying when scale shows this weight.</t>
        </r>
      </text>
    </comment>
    <comment ref="B16" authorId="0" shapeId="0" xr:uid="{00000000-0006-0000-0300-000009000000}">
      <text>
        <r>
          <rPr>
            <sz val="11"/>
            <color theme="1"/>
            <rFont val="Calibri"/>
            <family val="2"/>
            <scheme val="minor"/>
          </rPr>
          <t>Recommended: 38-42°C (100-108°F)
Higher temp = faster drying
Too hot (&gt;45°C) risks cooking the rice</t>
        </r>
      </text>
    </comment>
    <comment ref="B17" authorId="0" shapeId="0" xr:uid="{00000000-0006-0000-0300-00000A000000}">
      <text>
        <r>
          <rPr>
            <sz val="11"/>
            <color theme="1"/>
            <rFont val="Calibri"/>
            <family val="2"/>
            <scheme val="minor"/>
          </rPr>
          <t>Recommended: &lt;50% RH
Use dehumidifier if ambient is higher
Lower humidity = faster drying</t>
        </r>
      </text>
    </comment>
    <comment ref="B18" authorId="0" shapeId="0" xr:uid="{00000000-0006-0000-0300-00000B000000}">
      <text>
        <r>
          <rPr>
            <sz val="11"/>
            <color theme="1"/>
            <rFont val="Calibri"/>
            <family val="2"/>
            <scheme val="minor"/>
          </rPr>
          <t>Estimated time to reach target weight.
This is approximate - actual time varies with:
• Rice spread thickness (thinner = faster)
• Air circulation (fan helps)
• Batch size
Check weight every 15 min and stop when target reached.</t>
        </r>
      </text>
    </comment>
    <comment ref="B20" authorId="0" shapeId="0" xr:uid="{00000000-0006-0000-0300-00000C000000}">
      <text>
        <r>
          <rPr>
            <sz val="11"/>
            <color theme="1"/>
            <rFont val="Calibri"/>
            <family val="2"/>
            <scheme val="minor"/>
          </rPr>
          <t>Rice weight at inoculation.
For Ueda: use hiki-komi weight.
For others: use steamed weight.</t>
        </r>
      </text>
    </comment>
    <comment ref="B21" authorId="0" shapeId="0" xr:uid="{00000000-0006-0000-0300-00000D000000}">
      <text>
        <r>
          <rPr>
            <sz val="11"/>
            <color theme="1"/>
            <rFont val="Calibri"/>
            <family val="2"/>
            <scheme val="minor"/>
          </rPr>
          <t>Standard futa trays: 1.5 kg
Large hako boxes: 15 kg
Ueda tarai tubs: 15 kg</t>
        </r>
      </text>
    </comment>
    <comment ref="E25" authorId="0" shapeId="0" xr:uid="{00000000-0006-0000-0300-00000E000000}">
      <text>
        <r>
          <rPr>
            <sz val="11"/>
            <color theme="1"/>
            <rFont val="Calibri"/>
            <family val="2"/>
            <scheme val="minor"/>
          </rPr>
          <t>Rough genshu yield estimate.
Assumes: 1.3 L/kg water ratio, 63% press efficiency.
Actual varies with press method and style.</t>
        </r>
      </text>
    </comment>
    <comment ref="B31" authorId="0" shapeId="0" xr:uid="{00000000-0006-0000-0300-00000F000000}">
      <text>
        <r>
          <rPr>
            <sz val="11"/>
            <color theme="1"/>
            <rFont val="Calibri"/>
            <family val="2"/>
            <scheme val="minor"/>
          </rPr>
          <t>Common concentrations:
88% = food grade (most common)
85% = some suppliers
50% = diluted/safer to handle</t>
        </r>
      </text>
    </comment>
    <comment ref="E32" authorId="0" shapeId="0" xr:uid="{00000000-0006-0000-0300-000010000000}">
      <text>
        <r>
          <rPr>
            <sz val="11"/>
            <color theme="1"/>
            <rFont val="Calibri"/>
            <family val="2"/>
            <scheme val="minor"/>
          </rPr>
          <t>Rough fermentation progress.
Baumé drops from ~14 to ~0 or negative.
100% = fermentation complete.</t>
        </r>
      </text>
    </comment>
    <comment ref="E38" authorId="0" shapeId="0" xr:uid="{00000000-0006-0000-0300-000011000000}">
      <text>
        <r>
          <rPr>
            <sz val="11"/>
            <color theme="1"/>
            <rFont val="Calibri"/>
            <family val="2"/>
            <scheme val="minor"/>
          </rPr>
          <t>Seimai-buai (精米歩合).
70 = table rice
60 = ginjo
50 = daiginjo
35 = ultra premium</t>
        </r>
      </text>
    </comment>
    <comment ref="E39" authorId="0" shapeId="0" xr:uid="{00000000-0006-0000-0300-000012000000}">
      <text>
        <r>
          <rPr>
            <sz val="11"/>
            <color theme="1"/>
            <rFont val="Calibri"/>
            <family val="2"/>
            <scheme val="minor"/>
          </rPr>
          <t>Crude protein of unpolished rice.
Sake rice: 6-7%
Table rice: 6-8%</t>
        </r>
      </text>
    </comment>
    <comment ref="B43" authorId="0" shapeId="0" xr:uid="{00000000-0006-0000-0300-000013000000}">
      <text>
        <r>
          <rPr>
            <sz val="11"/>
            <color theme="1"/>
            <rFont val="Calibri"/>
            <family val="2"/>
            <scheme val="minor"/>
          </rPr>
          <t>Refractometer reading.
Brix measures sugar content by weight.</t>
        </r>
      </text>
    </comment>
    <comment ref="E44" authorId="0" shapeId="0" xr:uid="{00000000-0006-0000-0300-000014000000}">
      <text>
        <r>
          <rPr>
            <sz val="11"/>
            <color theme="1"/>
            <rFont val="Calibri"/>
            <family val="2"/>
            <scheme val="minor"/>
          </rPr>
          <t>Typical ratios:
1.2-1.3 = Standard
1.1-1.2 = Thick (koi)
1.3-1.4 = Thin (ama)</t>
        </r>
      </text>
    </comment>
    <comment ref="B48" authorId="0" shapeId="0" xr:uid="{00000000-0006-0000-0300-000015000000}">
      <text>
        <r>
          <rPr>
            <sz val="11"/>
            <color theme="1"/>
            <rFont val="Calibri"/>
            <family val="2"/>
            <scheme val="minor"/>
          </rPr>
          <t>Tsuki-haze (Ginjo): 0.05-0.1 g/kg - spotted, refined
Sou-haze (Standard): 0.1-0.2 g/kg - full coverage
High-enzyme (Moto): 0.2-0.3 g/kg - maximum enzyme</t>
        </r>
      </text>
    </comment>
    <comment ref="B49" authorId="0" shapeId="0" xr:uid="{00000000-0006-0000-0300-000016000000}">
      <text>
        <r>
          <rPr>
            <sz val="11"/>
            <color theme="1"/>
            <rFont val="Calibri"/>
            <family val="2"/>
            <scheme val="minor"/>
          </rPr>
          <t>Cooled steamed rice weight at inoculation.
For Ueda: use hiki-komi weight.</t>
        </r>
      </text>
    </comment>
    <comment ref="E49" authorId="0" shapeId="0" xr:uid="{00000000-0006-0000-0300-000017000000}">
      <text>
        <r>
          <rPr>
            <sz val="11"/>
            <color theme="1"/>
            <rFont val="Calibri"/>
            <family val="2"/>
            <scheme val="minor"/>
          </rPr>
          <t>Typical yields:
60-65% = Gravity/bag press
70-75% = Fune press
80%+ = Yabuta machine</t>
        </r>
      </text>
    </comment>
    <comment ref="B51" authorId="0" shapeId="0" xr:uid="{00000000-0006-0000-0300-000018000000}">
      <text>
        <r>
          <rPr>
            <sz val="11"/>
            <color theme="1"/>
            <rFont val="Calibri"/>
            <family val="2"/>
            <scheme val="minor"/>
          </rPr>
          <t>0-3 mo: fresh, no adjustment
3-6 mo: +25%
6-12 mo: +50%
&gt;12 mo: +100% (replace soon)</t>
        </r>
      </text>
    </comment>
    <comment ref="B54" authorId="0" shapeId="0" xr:uid="{00000000-0006-0000-0300-000019000000}">
      <text>
        <r>
          <rPr>
            <sz val="11"/>
            <color theme="1"/>
            <rFont val="Calibri"/>
            <family val="2"/>
            <scheme val="minor"/>
          </rPr>
          <t>Carrier (toasted rice flour) to spores.
3:1 = minimal
5:1 = standard
10:1 = heavy (beginners)</t>
        </r>
      </text>
    </comment>
    <comment ref="B57" authorId="0" shapeId="0" xr:uid="{00000000-0006-0000-0300-00001A000000}">
      <text>
        <r>
          <rPr>
            <sz val="11"/>
            <color theme="1"/>
            <rFont val="Calibri"/>
            <family val="2"/>
            <scheme val="minor"/>
          </rPr>
          <t>2 passes recommended:
Pass 1: ~60%, then mix rice
Pass 2: ~40%</t>
        </r>
      </text>
    </comment>
    <comment ref="B64" authorId="0" shapeId="0" xr:uid="{00000000-0006-0000-0300-00001B000000}">
      <text>
        <r>
          <rPr>
            <sz val="11"/>
            <color theme="1"/>
            <rFont val="Calibri"/>
            <family val="2"/>
            <scheme val="minor"/>
          </rPr>
          <t>Common sizes:
720 mL = Yongobin (standard)
300 mL = Small
1800 mL = Isshobin (large)</t>
        </r>
      </text>
    </comment>
    <comment ref="B74" authorId="0" shapeId="0" xr:uid="{00000000-0006-0000-0300-00001C000000}">
      <text>
        <r>
          <rPr>
            <sz val="11"/>
            <color theme="1"/>
            <rFont val="Calibri"/>
            <family val="2"/>
            <scheme val="minor"/>
          </rPr>
          <t>Titratable acidity (滴定酸度).
Typical: 1.2-1.8 mL</t>
        </r>
      </text>
    </comment>
    <comment ref="E74" authorId="0" shapeId="0" xr:uid="{00000000-0006-0000-0300-00001D000000}">
      <text>
        <r>
          <rPr>
            <sz val="11"/>
            <color theme="1"/>
            <rFont val="Calibri"/>
            <family val="2"/>
            <scheme val="minor"/>
          </rPr>
          <t>Typical: 5-10% of total moromi
5-7% = Standard
7-10% = Cold ferment/ginjo
3-5% = Warm/quick</t>
        </r>
      </text>
    </comment>
    <comment ref="B80" authorId="0" shapeId="0" xr:uid="{00000000-0006-0000-0300-00001E000000}">
      <text>
        <r>
          <rPr>
            <sz val="11"/>
            <color theme="1"/>
            <rFont val="Calibri"/>
            <family val="2"/>
            <scheme val="minor"/>
          </rPr>
          <t>Minimum wash water: 3× rice weight.
For multiple washes, use fresh water each time.</t>
        </r>
      </text>
    </comment>
    <comment ref="E80" authorId="0" shapeId="0" xr:uid="{00000000-0006-0000-0300-00001F000000}">
      <text>
        <r>
          <rPr>
            <sz val="11"/>
            <color theme="1"/>
            <rFont val="Calibri"/>
            <family val="2"/>
            <scheme val="minor"/>
          </rPr>
          <t>Typical koji ratios:
18-20% = Light/ginjo
20-22% = Standard
23-25% = Rich/junmai</t>
        </r>
      </text>
    </comment>
    <comment ref="B90" authorId="0" shapeId="0" xr:uid="{00000000-0006-0000-0300-000020000000}">
      <text>
        <r>
          <rPr>
            <sz val="11"/>
            <color theme="1"/>
            <rFont val="Calibri"/>
            <family val="2"/>
            <scheme val="minor"/>
          </rPr>
          <t>Final temperature from mixing rice and water.
Uses specific heat:
Rice = 2.7 kJ/kg·K
Water = 4.186 kJ/kg·K
Formula:
Tf = (mr×2.7×Tr + mw×4.186×Tw) / (mr×2.7 + mw×4.186)</t>
        </r>
      </text>
    </comment>
    <comment ref="B99" authorId="0" shapeId="0" xr:uid="{00000000-0006-0000-0300-000021000000}">
      <text>
        <r>
          <rPr>
            <sz val="11"/>
            <color theme="1"/>
            <rFont val="Calibri"/>
            <family val="2"/>
            <scheme val="minor"/>
          </rPr>
          <t>Three-component mash temperature.
Specific heat (kJ/kg·K):
Rice = 2.7
Koji = 1.8
Water = 4.186
Used for soe, naka, tome stages.</t>
        </r>
      </text>
    </comment>
    <comment ref="B104" authorId="0" shapeId="0" xr:uid="{00000000-0006-0000-0300-000022000000}">
      <text>
        <r>
          <rPr>
            <sz val="11"/>
            <color theme="1"/>
            <rFont val="Calibri"/>
            <family val="2"/>
            <scheme val="minor"/>
          </rPr>
          <t>Traditional toji shortcut method.
Calculates required steamed rice temperature to hit target mash temp.
Example: Target 7°C, mizu-koji 5°C
Rice = (7-5)×3.5+5 = 12°C
The 3.5 multiplier accounts for rice having ~40% the thermal mass of water.</t>
        </r>
      </text>
    </comment>
    <comment ref="B113" authorId="0" shapeId="0" xr:uid="{00000000-0006-0000-0300-000023000000}">
      <text>
        <r>
          <rPr>
            <sz val="11"/>
            <color theme="1"/>
            <rFont val="Calibri"/>
            <family val="2"/>
            <scheme val="minor"/>
          </rPr>
          <t>Total white rice (白米) for entire batch.
Sum of moto + soe + naka + tome rice.</t>
        </r>
      </text>
    </comment>
    <comment ref="B114" authorId="0" shapeId="0" xr:uid="{00000000-0006-0000-0300-000024000000}">
      <text>
        <r>
          <rPr>
            <sz val="11"/>
            <color theme="1"/>
            <rFont val="Calibri"/>
            <family val="2"/>
            <scheme val="minor"/>
          </rPr>
          <t>Traditional range: 7-15%
7% = subtle sweetening
10% = moderate (default)
15% = strong ama-kuchi
Toji guilds pass down preferred ratios.</t>
        </r>
      </text>
    </comment>
    <comment ref="B115" authorId="0" shapeId="0" xr:uid="{00000000-0006-0000-0300-000025000000}">
      <text>
        <r>
          <rPr>
            <sz val="11"/>
            <color theme="1"/>
            <rFont val="Calibri"/>
            <family val="2"/>
            <scheme val="minor"/>
          </rPr>
          <t>Uruchi (粳米) = regular rice, clean result
Mochi (餅米) = glutinous, richer/sweeter
Mochi is traditional for sweetening.</t>
        </r>
      </text>
    </comment>
    <comment ref="B117" authorId="0" shapeId="0" xr:uid="{00000000-0006-0000-0300-000026000000}">
      <text>
        <r>
          <rPr>
            <sz val="11"/>
            <color theme="1"/>
            <rFont val="Calibri"/>
            <family val="2"/>
            <scheme val="minor"/>
          </rPr>
          <t>Dry rice weight for yodan.
Steam this rice for direct addition,
or use it to make amazake.</t>
        </r>
      </text>
    </comment>
    <comment ref="B118" authorId="0" shapeId="0" xr:uid="{00000000-0006-0000-0300-000027000000}">
      <text>
        <r>
          <rPr>
            <sz val="11"/>
            <color theme="1"/>
            <rFont val="Calibri"/>
            <family val="2"/>
            <scheme val="minor"/>
          </rPr>
          <t>Koji:Rice ratio for amazake.
1.0 = equal parts (standard)
0.5-1.0 range acceptable.</t>
        </r>
      </text>
    </comment>
    <comment ref="B119" authorId="0" shapeId="0" xr:uid="{00000000-0006-0000-0300-000028000000}">
      <text>
        <r>
          <rPr>
            <sz val="11"/>
            <color theme="1"/>
            <rFont val="Calibri"/>
            <family val="2"/>
            <scheme val="minor"/>
          </rPr>
          <t>Water:Rice ratio for amazake.
1.5 = standard thickness
1.0 = thick (higher Brix)
2.0 = thin</t>
        </r>
      </text>
    </comment>
    <comment ref="B122" authorId="0" shapeId="0" xr:uid="{00000000-0006-0000-0300-000029000000}">
      <text>
        <r>
          <rPr>
            <sz val="11"/>
            <color theme="1"/>
            <rFont val="Calibri"/>
            <family val="2"/>
            <scheme val="minor"/>
          </rPr>
          <t>Estimated amazake volume.
Process: 55-60°C for 8-14 hours.
Target 22-25+ Brix when done.</t>
        </r>
      </text>
    </comment>
    <comment ref="B129" authorId="0" shapeId="0" xr:uid="{00000000-0006-0000-0300-00002A000000}">
      <text>
        <r>
          <rPr>
            <sz val="11"/>
            <color theme="1"/>
            <rFont val="Calibri"/>
            <family val="2"/>
            <scheme val="minor"/>
          </rPr>
          <t>Current moromi volume.
Measure or estimate from tank.</t>
        </r>
      </text>
    </comment>
    <comment ref="B130" authorId="0" shapeId="0" xr:uid="{00000000-0006-0000-0300-00002B000000}">
      <text>
        <r>
          <rPr>
            <sz val="11"/>
            <color theme="1"/>
            <rFont val="Calibri"/>
            <family val="2"/>
            <scheme val="minor"/>
          </rPr>
          <t>Current Sake Meter Value.
Measure with hydrometer at 15°C.
+ = dry, - = sweet</t>
        </r>
      </text>
    </comment>
    <comment ref="B131" authorId="0" shapeId="0" xr:uid="{00000000-0006-0000-0300-00002C000000}">
      <text>
        <r>
          <rPr>
            <sz val="11"/>
            <color theme="1"/>
            <rFont val="Calibri"/>
            <family val="2"/>
            <scheme val="minor"/>
          </rPr>
          <t>+10 to +15 = dry (辛口)
+3 to +7 = balanced
-3 to +3 = slightly sweet
-10 to -3 = sweet (甘口)</t>
        </r>
      </text>
    </comment>
    <comment ref="B132" authorId="0" shapeId="0" xr:uid="{00000000-0006-0000-0300-00002D000000}">
      <text>
        <r>
          <rPr>
            <sz val="11"/>
            <color theme="1"/>
            <rFont val="Calibri"/>
            <family val="2"/>
            <scheme val="minor"/>
          </rPr>
          <t>Measure your amazake with refractometer.
Typical: 20-30 Brix.
25 Brix ≈ 250g sugar/L</t>
        </r>
      </text>
    </comment>
    <comment ref="B134" authorId="0" shapeId="0" xr:uid="{00000000-0006-0000-0300-00002E000000}">
      <text>
        <r>
          <rPr>
            <sz val="11"/>
            <color theme="1"/>
            <rFont val="Calibri"/>
            <family val="2"/>
            <scheme val="minor"/>
          </rPr>
          <t>Total sugar to add.
Formula: ΔSMV × Volume × 1.75</t>
        </r>
      </text>
    </comment>
    <comment ref="B135" authorId="0" shapeId="0" xr:uid="{00000000-0006-0000-0300-00002F000000}">
      <text>
        <r>
          <rPr>
            <sz val="11"/>
            <color theme="1"/>
            <rFont val="Calibri"/>
            <family val="2"/>
            <scheme val="minor"/>
          </rPr>
          <t>Amazake volume for target SMV.
Brix × 10 ≈ g sugar per liter.</t>
        </r>
      </text>
    </comment>
    <comment ref="B140" authorId="0" shapeId="0" xr:uid="{00000000-0006-0000-0300-000030000000}">
      <text>
        <r>
          <rPr>
            <sz val="11"/>
            <color theme="1"/>
            <rFont val="Calibri"/>
            <family val="2"/>
            <scheme val="minor"/>
          </rPr>
          <t>Enter your actual amazake amount.
Leave blank to skip this section.</t>
        </r>
      </text>
    </comment>
    <comment ref="B141" authorId="0" shapeId="0" xr:uid="{00000000-0006-0000-0300-000031000000}">
      <text>
        <r>
          <rPr>
            <sz val="11"/>
            <color theme="1"/>
            <rFont val="Calibri"/>
            <family val="2"/>
            <scheme val="minor"/>
          </rPr>
          <t>Predicted SMV change.
Negative = sweeter.</t>
        </r>
      </text>
    </comment>
    <comment ref="B148" authorId="0" shapeId="0" xr:uid="{00000000-0006-0000-0300-000032000000}">
      <text>
        <r>
          <rPr>
            <sz val="11"/>
            <color theme="1"/>
            <rFont val="Calibri"/>
            <family val="2"/>
            <scheme val="minor"/>
          </rPr>
          <t>Genshu typically 18-20% ABV.</t>
        </r>
      </text>
    </comment>
    <comment ref="B149" authorId="0" shapeId="0" xr:uid="{00000000-0006-0000-0300-000033000000}">
      <text>
        <r>
          <rPr>
            <sz val="11"/>
            <color theme="1"/>
            <rFont val="Calibri"/>
            <family val="2"/>
            <scheme val="minor"/>
          </rPr>
          <t>15-16% = commercial standard
12-14% = light sake</t>
        </r>
      </text>
    </comment>
    <comment ref="B150" authorId="0" shapeId="0" xr:uid="{00000000-0006-0000-0300-000034000000}">
      <text>
        <r>
          <rPr>
            <sz val="11"/>
            <color theme="1"/>
            <rFont val="Calibri"/>
            <family val="2"/>
            <scheme val="minor"/>
          </rPr>
          <t>Formula: V × ((ABV₁/ABV₂) - 1)
Use soft, iron-free water (&lt;0.02 ppm Fe).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8" authorId="0" shapeId="0" xr:uid="{00000000-0006-0000-0400-000001000000}">
      <text>
        <r>
          <rPr>
            <sz val="11"/>
            <color theme="1"/>
            <rFont val="Calibri"/>
            <family val="2"/>
            <scheme val="minor"/>
          </rPr>
          <t>Final weight of shio koji. Start with 0.5-1 kg for home use.</t>
        </r>
      </text>
    </comment>
    <comment ref="B9" authorId="0" shapeId="0" xr:uid="{00000000-0006-0000-0400-000002000000}">
      <text>
        <r>
          <rPr>
            <sz val="11"/>
            <color theme="1"/>
            <rFont val="Calibri"/>
            <family val="2"/>
            <scheme val="minor"/>
          </rPr>
          <t>Traditional 12-15%. Lower (10-12%) = sweeter, faster spoilage. Higher (15-18%) = longer shelf life.</t>
        </r>
      </text>
    </comment>
    <comment ref="B12" authorId="0" shapeId="0" xr:uid="{00000000-0006-0000-0400-000003000000}">
      <text>
        <r>
          <rPr>
            <sz val="11"/>
            <color theme="1"/>
            <rFont val="Calibri"/>
            <family val="2"/>
            <scheme val="minor"/>
          </rPr>
          <t>Dry rice koji. ~2/3 of final weight.</t>
        </r>
      </text>
    </comment>
    <comment ref="B13" authorId="0" shapeId="0" xr:uid="{00000000-0006-0000-0400-000004000000}">
      <text>
        <r>
          <rPr>
            <sz val="11"/>
            <color theme="1"/>
            <rFont val="Calibri"/>
            <family val="2"/>
            <scheme val="minor"/>
          </rPr>
          <t>Fine sea salt or kosher salt. Avoid iodized.</t>
        </r>
      </text>
    </comment>
    <comment ref="B14" authorId="0" shapeId="0" xr:uid="{00000000-0006-0000-0400-000005000000}">
      <text>
        <r>
          <rPr>
            <sz val="11"/>
            <color theme="1"/>
            <rFont val="Calibri"/>
            <family val="2"/>
            <scheme val="minor"/>
          </rPr>
          <t>Dechlorinated water. Koji should be just submerged.</t>
        </r>
      </text>
    </comment>
    <comment ref="B17" authorId="0" shapeId="0" xr:uid="{00000000-0006-0000-0400-000006000000}">
      <text>
        <r>
          <rPr>
            <sz val="11"/>
            <color theme="1"/>
            <rFont val="Calibri"/>
            <family val="2"/>
            <scheme val="minor"/>
          </rPr>
          <t>Break up koji, ensure salt dissolves.</t>
        </r>
      </text>
    </comment>
    <comment ref="B18" authorId="0" shapeId="0" xr:uid="{00000000-0006-0000-0400-000007000000}">
      <text>
        <r>
          <rPr>
            <sz val="11"/>
            <color theme="1"/>
            <rFont val="Calibri"/>
            <family val="2"/>
            <scheme val="minor"/>
          </rPr>
          <t>Stir daily. Ready when porridge-like consistency.</t>
        </r>
      </text>
    </comment>
    <comment ref="B19" authorId="0" shapeId="0" xr:uid="{00000000-0006-0000-0400-000008000000}">
      <text>
        <r>
          <rPr>
            <sz val="11"/>
            <color theme="1"/>
            <rFont val="Calibri"/>
            <family val="2"/>
            <scheme val="minor"/>
          </rPr>
          <t>Continues to develop flavor. Safe due to salt.</t>
        </r>
      </text>
    </comment>
    <comment ref="B27" authorId="0" shapeId="0" xr:uid="{00000000-0006-0000-0400-000009000000}">
      <text>
        <r>
          <rPr>
            <sz val="11"/>
            <color theme="1"/>
            <rFont val="Calibri"/>
            <family val="2"/>
            <scheme val="minor"/>
          </rPr>
          <t>Final volume. Will be thick; dilute to taste when serving.</t>
        </r>
      </text>
    </comment>
    <comment ref="B30" authorId="0" shapeId="0" xr:uid="{00000000-0006-0000-0400-00000A000000}">
      <text>
        <r>
          <rPr>
            <sz val="11"/>
            <color theme="1"/>
            <rFont val="Calibri"/>
            <family val="2"/>
            <scheme val="minor"/>
          </rPr>
          <t>Short-grain white rice. Polish ratio doesn't matter much.</t>
        </r>
      </text>
    </comment>
    <comment ref="B31" authorId="0" shapeId="0" xr:uid="{00000000-0006-0000-0400-00000B000000}">
      <text>
        <r>
          <rPr>
            <sz val="11"/>
            <color theme="1"/>
            <rFont val="Calibri"/>
            <family val="2"/>
            <scheme val="minor"/>
          </rPr>
          <t>Equal parts rice and koji by dry weight is traditional.</t>
        </r>
      </text>
    </comment>
    <comment ref="B32" authorId="0" shapeId="0" xr:uid="{00000000-0006-0000-0400-00000C000000}">
      <text>
        <r>
          <rPr>
            <sz val="11"/>
            <color theme="1"/>
            <rFont val="Calibri"/>
            <family val="2"/>
            <scheme val="minor"/>
          </rPr>
          <t>For cooking rice and mixing. Adjust for desired thickness.</t>
        </r>
      </text>
    </comment>
    <comment ref="B35" authorId="0" shapeId="0" xr:uid="{00000000-0006-0000-0400-00000D000000}">
      <text>
        <r>
          <rPr>
            <sz val="11"/>
            <color theme="1"/>
            <rFont val="Calibri"/>
            <family val="2"/>
            <scheme val="minor"/>
          </rPr>
          <t>More water than normal. Can use rice cooker porridge setting.</t>
        </r>
      </text>
    </comment>
    <comment ref="B36" authorId="0" shapeId="0" xr:uid="{00000000-0006-0000-0400-00000E000000}">
      <text>
        <r>
          <rPr>
            <sz val="11"/>
            <color theme="1"/>
            <rFont val="Calibri"/>
            <family val="2"/>
            <scheme val="minor"/>
          </rPr>
          <t>Critical: above 60°C kills koji enzymes.</t>
        </r>
      </text>
    </comment>
    <comment ref="B37" authorId="0" shapeId="0" xr:uid="{00000000-0006-0000-0400-00000F000000}">
      <text>
        <r>
          <rPr>
            <sz val="11"/>
            <color theme="1"/>
            <rFont val="Calibri"/>
            <family val="2"/>
            <scheme val="minor"/>
          </rPr>
          <t>Use rice cooker on warm, oven, or insulated container.</t>
        </r>
      </text>
    </comment>
    <comment ref="B38" authorId="0" shapeId="0" xr:uid="{00000000-0006-0000-0400-000010000000}">
      <text>
        <r>
          <rPr>
            <sz val="11"/>
            <color theme="1"/>
            <rFont val="Calibri"/>
            <family val="2"/>
            <scheme val="minor"/>
          </rPr>
          <t>Stir occasionally. Taste for sweetness.</t>
        </r>
      </text>
    </comment>
    <comment ref="B39" authorId="0" shapeId="0" xr:uid="{00000000-0006-0000-0400-000011000000}">
      <text>
        <r>
          <rPr>
            <sz val="11"/>
            <color theme="1"/>
            <rFont val="Calibri"/>
            <family val="2"/>
            <scheme val="minor"/>
          </rPr>
          <t>Pasteurize (85°C, 5 min) to halt enzymes if desired.</t>
        </r>
      </text>
    </comment>
    <comment ref="B47" authorId="0" shapeId="0" xr:uid="{00000000-0006-0000-0400-000012000000}">
      <text>
        <r>
          <rPr>
            <sz val="11"/>
            <color theme="1"/>
            <rFont val="Calibri"/>
            <family val="2"/>
            <scheme val="minor"/>
          </rPr>
          <t>Final weight. Home batches typically 2-5 kg.</t>
        </r>
      </text>
    </comment>
    <comment ref="B48" authorId="0" shapeId="0" xr:uid="{00000000-0006-0000-0400-000013000000}">
      <text>
        <r>
          <rPr>
            <sz val="11"/>
            <color theme="1"/>
            <rFont val="Calibri"/>
            <family val="2"/>
            <scheme val="minor"/>
          </rPr>
          <t>Koji:soy ratio. 0.5=hatcho (dark). 1.0=standard. 2.0=shiro (sweet white).</t>
        </r>
      </text>
    </comment>
    <comment ref="B49" authorId="0" shapeId="0" xr:uid="{00000000-0006-0000-0400-000014000000}">
      <text>
        <r>
          <rPr>
            <sz val="11"/>
            <color theme="1"/>
            <rFont val="Calibri"/>
            <family val="2"/>
            <scheme val="minor"/>
          </rPr>
          <t>10-13% typical. Higher = slower ferment, longer storage.</t>
        </r>
      </text>
    </comment>
    <comment ref="B52" authorId="0" shapeId="0" xr:uid="{00000000-0006-0000-0400-000015000000}">
      <text>
        <r>
          <rPr>
            <sz val="11"/>
            <color theme="1"/>
            <rFont val="Calibri"/>
            <family val="2"/>
            <scheme val="minor"/>
          </rPr>
          <t>Dry soybeans. Will approximately double when soaked/cooked.</t>
        </r>
      </text>
    </comment>
    <comment ref="B53" authorId="0" shapeId="0" xr:uid="{00000000-0006-0000-0400-000016000000}">
      <text>
        <r>
          <rPr>
            <sz val="11"/>
            <color theme="1"/>
            <rFont val="Calibri"/>
            <family val="2"/>
            <scheme val="minor"/>
          </rPr>
          <t>Or barley koji (mugi miso) or soy koji (hatcho).</t>
        </r>
      </text>
    </comment>
    <comment ref="B54" authorId="0" shapeId="0" xr:uid="{00000000-0006-0000-0400-000017000000}">
      <text>
        <r>
          <rPr>
            <sz val="11"/>
            <color theme="1"/>
            <rFont val="Calibri"/>
            <family val="2"/>
            <scheme val="minor"/>
          </rPr>
          <t>Sea salt or kosher. Mix with koji before combining.</t>
        </r>
      </text>
    </comment>
    <comment ref="B55" authorId="0" shapeId="0" xr:uid="{00000000-0006-0000-0400-000018000000}">
      <text>
        <r>
          <rPr>
            <sz val="11"/>
            <color theme="1"/>
            <rFont val="Calibri"/>
            <family val="2"/>
            <scheme val="minor"/>
          </rPr>
          <t>Reserved cooking water (ame). Add as needed for texture.</t>
        </r>
      </text>
    </comment>
    <comment ref="B58" authorId="0" shapeId="0" xr:uid="{00000000-0006-0000-0400-000019000000}">
      <text>
        <r>
          <rPr>
            <sz val="11"/>
            <color theme="1"/>
            <rFont val="Calibri"/>
            <family val="2"/>
            <scheme val="minor"/>
          </rPr>
          <t>Sweet, mild. High koji, low salt, short ferment.</t>
        </r>
      </text>
    </comment>
    <comment ref="B59" authorId="0" shapeId="0" xr:uid="{00000000-0006-0000-0400-00001A000000}">
      <text>
        <r>
          <rPr>
            <sz val="11"/>
            <color theme="1"/>
            <rFont val="Calibri"/>
            <family val="2"/>
            <scheme val="minor"/>
          </rPr>
          <t>Balanced, all-purpose. Standard ratio.</t>
        </r>
      </text>
    </comment>
    <comment ref="B60" authorId="0" shapeId="0" xr:uid="{00000000-0006-0000-0400-00001B000000}">
      <text>
        <r>
          <rPr>
            <sz val="11"/>
            <color theme="1"/>
            <rFont val="Calibri"/>
            <family val="2"/>
            <scheme val="minor"/>
          </rPr>
          <t>Deep, complex. Longer ferment develops color.</t>
        </r>
      </text>
    </comment>
    <comment ref="B61" authorId="0" shapeId="0" xr:uid="{00000000-0006-0000-0400-00001C000000}">
      <text>
        <r>
          <rPr>
            <sz val="11"/>
            <color theme="1"/>
            <rFont val="Calibri"/>
            <family val="2"/>
            <scheme val="minor"/>
          </rPr>
          <t>Intense umami. No rice/barley koji. Miso balls pressed.</t>
        </r>
      </text>
    </comment>
    <comment ref="B62" authorId="0" shapeId="0" xr:uid="{00000000-0006-0000-0400-00001D000000}">
      <text>
        <r>
          <rPr>
            <sz val="11"/>
            <color theme="1"/>
            <rFont val="Calibri"/>
            <family val="2"/>
            <scheme val="minor"/>
          </rPr>
          <t>Earthy, rustic. Popular in Kyushu.</t>
        </r>
      </text>
    </comment>
    <comment ref="B65" authorId="0" shapeId="0" xr:uid="{00000000-0006-0000-0400-00001E000000}">
      <text>
        <r>
          <rPr>
            <sz val="11"/>
            <color theme="1"/>
            <rFont val="Calibri"/>
            <family val="2"/>
            <scheme val="minor"/>
          </rPr>
          <t>Until doubled in size, no hard center.</t>
        </r>
      </text>
    </comment>
    <comment ref="B66" authorId="0" shapeId="0" xr:uid="{00000000-0006-0000-0400-00001F000000}">
      <text>
        <r>
          <rPr>
            <sz val="11"/>
            <color theme="1"/>
            <rFont val="Calibri"/>
            <family val="2"/>
            <scheme val="minor"/>
          </rPr>
          <t>Done when easily crushable between fingers.</t>
        </r>
      </text>
    </comment>
    <comment ref="B67" authorId="0" shapeId="0" xr:uid="{00000000-0006-0000-0400-000020000000}">
      <text>
        <r>
          <rPr>
            <sz val="11"/>
            <color theme="1"/>
            <rFont val="Calibri"/>
            <family val="2"/>
            <scheme val="minor"/>
          </rPr>
          <t>Food processor, meat grinder, or by hand. Some chunks OK.</t>
        </r>
      </text>
    </comment>
    <comment ref="B68" authorId="0" shapeId="0" xr:uid="{00000000-0006-0000-0400-000021000000}">
      <text>
        <r>
          <rPr>
            <sz val="11"/>
            <color theme="1"/>
            <rFont val="Calibri"/>
            <family val="2"/>
            <scheme val="minor"/>
          </rPr>
          <t>Salt inhibits unwanted bacteria, distributes evenly.</t>
        </r>
      </text>
    </comment>
    <comment ref="B69" authorId="0" shapeId="0" xr:uid="{00000000-0006-0000-0400-000022000000}">
      <text>
        <r>
          <rPr>
            <sz val="11"/>
            <color theme="1"/>
            <rFont val="Calibri"/>
            <family val="2"/>
            <scheme val="minor"/>
          </rPr>
          <t>Add cooking liquid (ame) for workable texture.</t>
        </r>
      </text>
    </comment>
    <comment ref="B70" authorId="0" shapeId="0" xr:uid="{00000000-0006-0000-0400-000023000000}">
      <text>
        <r>
          <rPr>
            <sz val="11"/>
            <color theme="1"/>
            <rFont val="Calibri"/>
            <family val="2"/>
            <scheme val="minor"/>
          </rPr>
          <t>Miso balls thrown into crock to eliminate air.</t>
        </r>
      </text>
    </comment>
    <comment ref="B71" authorId="0" shapeId="0" xr:uid="{00000000-0006-0000-0400-000024000000}">
      <text>
        <r>
          <rPr>
            <sz val="11"/>
            <color theme="1"/>
            <rFont val="Calibri"/>
            <family val="2"/>
            <scheme val="minor"/>
          </rPr>
          <t>Plastic wrap on surface, weight, cover. Prevents mold.</t>
        </r>
      </text>
    </comment>
    <comment ref="B72" authorId="0" shapeId="0" xr:uid="{00000000-0006-0000-0400-000025000000}">
      <text>
        <r>
          <rPr>
            <sz val="11"/>
            <color theme="1"/>
            <rFont val="Calibri"/>
            <family val="2"/>
            <scheme val="minor"/>
          </rPr>
          <t>Taste periodically. Mix once at 3-6 months (tenchi-gaeshi).</t>
        </r>
      </text>
    </comment>
    <comment ref="B80" authorId="0" shapeId="0" xr:uid="{00000000-0006-0000-0400-000026000000}">
      <text>
        <r>
          <rPr>
            <sz val="11"/>
            <color theme="1"/>
            <rFont val="Calibri"/>
            <family val="2"/>
            <scheme val="minor"/>
          </rPr>
          <t>Final volume after pressing.</t>
        </r>
      </text>
    </comment>
    <comment ref="B81" authorId="0" shapeId="0" xr:uid="{00000000-0006-0000-0400-000027000000}">
      <text>
        <r>
          <rPr>
            <sz val="11"/>
            <color theme="1"/>
            <rFont val="Calibri"/>
            <family val="2"/>
            <scheme val="minor"/>
          </rPr>
          <t>35-40% typical. Use neutral (korui) or honkaku for character.</t>
        </r>
      </text>
    </comment>
    <comment ref="B84" authorId="0" shapeId="0" xr:uid="{00000000-0006-0000-0400-000028000000}">
      <text>
        <r>
          <rPr>
            <sz val="11"/>
            <color theme="1"/>
            <rFont val="Calibri"/>
            <family val="2"/>
            <scheme val="minor"/>
          </rPr>
          <t>Mochi-gome (糯米). Waxy starch = thick, sweet body.</t>
        </r>
      </text>
    </comment>
    <comment ref="B85" authorId="0" shapeId="0" xr:uid="{00000000-0006-0000-0400-000029000000}">
      <text>
        <r>
          <rPr>
            <sz val="11"/>
            <color theme="1"/>
            <rFont val="Calibri"/>
            <family val="2"/>
            <scheme val="minor"/>
          </rPr>
          <t>High-enzyme koji for saccharification.</t>
        </r>
      </text>
    </comment>
    <comment ref="B86" authorId="0" shapeId="0" xr:uid="{00000000-0006-0000-0400-00002A000000}">
      <text>
        <r>
          <rPr>
            <sz val="11"/>
            <color theme="1"/>
            <rFont val="Calibri"/>
            <family val="2"/>
            <scheme val="minor"/>
          </rPr>
          <t>Diluted to ~14% final ABV. Prevents fermentation.</t>
        </r>
      </text>
    </comment>
    <comment ref="B87" authorId="0" shapeId="0" xr:uid="{00000000-0006-0000-0400-00002B000000}">
      <text>
        <r>
          <rPr>
            <sz val="11"/>
            <color theme="1"/>
            <rFont val="Calibri"/>
            <family val="2"/>
            <scheme val="minor"/>
          </rPr>
          <t>Steamed weight = dry × 1.4</t>
        </r>
      </text>
    </comment>
    <comment ref="B90" authorId="0" shapeId="0" xr:uid="{00000000-0006-0000-0400-00002C000000}">
      <text>
        <r>
          <rPr>
            <sz val="11"/>
            <color theme="1"/>
            <rFont val="Calibri"/>
            <family val="2"/>
            <scheme val="minor"/>
          </rPr>
          <t>Glutinous rice needs careful steaming.</t>
        </r>
      </text>
    </comment>
    <comment ref="B91" authorId="0" shapeId="0" xr:uid="{00000000-0006-0000-0400-00002D000000}">
      <text>
        <r>
          <rPr>
            <sz val="11"/>
            <color theme="1"/>
            <rFont val="Calibri"/>
            <family val="2"/>
            <scheme val="minor"/>
          </rPr>
          <t>Mix thoroughly in fermentation vessel.</t>
        </r>
      </text>
    </comment>
    <comment ref="B92" authorId="0" shapeId="0" xr:uid="{00000000-0006-0000-0400-00002E000000}">
      <text>
        <r>
          <rPr>
            <sz val="11"/>
            <color theme="1"/>
            <rFont val="Calibri"/>
            <family val="2"/>
            <scheme val="minor"/>
          </rPr>
          <t>Stir occasionally. Koji enzymes convert starch to sugar.</t>
        </r>
      </text>
    </comment>
    <comment ref="B93" authorId="0" shapeId="0" xr:uid="{00000000-0006-0000-0400-00002F000000}">
      <text>
        <r>
          <rPr>
            <sz val="11"/>
            <color theme="1"/>
            <rFont val="Calibri"/>
            <family val="2"/>
            <scheme val="minor"/>
          </rPr>
          <t>Kasu (lees) can be used for cooking or pickling.</t>
        </r>
      </text>
    </comment>
    <comment ref="B94" authorId="0" shapeId="0" xr:uid="{00000000-0006-0000-0400-000030000000}">
      <text>
        <r>
          <rPr>
            <sz val="11"/>
            <color theme="1"/>
            <rFont val="Calibri"/>
            <family val="2"/>
            <scheme val="minor"/>
          </rPr>
          <t>Develops amber color and complexity.</t>
        </r>
      </text>
    </comment>
    <comment ref="B102" authorId="0" shapeId="0" xr:uid="{00000000-0006-0000-0400-000031000000}">
      <text>
        <r>
          <rPr>
            <sz val="11"/>
            <color theme="1"/>
            <rFont val="Calibri"/>
            <family val="2"/>
            <scheme val="minor"/>
          </rPr>
          <t>Final volume after fermentation.</t>
        </r>
      </text>
    </comment>
    <comment ref="B103" authorId="0" shapeId="0" xr:uid="{00000000-0006-0000-0400-000032000000}">
      <text>
        <r>
          <rPr>
            <sz val="11"/>
            <color theme="1"/>
            <rFont val="Calibri"/>
            <family val="2"/>
            <scheme val="minor"/>
          </rPr>
          <t>Minimum 3 years. 5+ = deep red, 8+ = near-black, intense umami.</t>
        </r>
      </text>
    </comment>
    <comment ref="B104" authorId="0" shapeId="0" xr:uid="{00000000-0006-0000-0400-000033000000}">
      <text>
        <r>
          <rPr>
            <sz val="11"/>
            <color theme="1"/>
            <rFont val="Calibri"/>
            <family val="2"/>
            <scheme val="minor"/>
          </rPr>
          <t>4.2% minimum for safety. Traditional 4.5-5.0%.</t>
        </r>
      </text>
    </comment>
    <comment ref="B107" authorId="0" shapeId="0" xr:uid="{00000000-0006-0000-0400-000034000000}">
      <text>
        <r>
          <rPr>
            <sz val="11"/>
            <color theme="1"/>
            <rFont val="Calibri"/>
            <family val="2"/>
            <scheme val="minor"/>
          </rPr>
          <t>Well-aged kasu. Color indicates flavor intensity.</t>
        </r>
      </text>
    </comment>
    <comment ref="B108" authorId="0" shapeId="0" xr:uid="{00000000-0006-0000-0400-000035000000}">
      <text>
        <r>
          <rPr>
            <sz val="11"/>
            <color theme="1"/>
            <rFont val="Calibri"/>
            <family val="2"/>
            <scheme val="minor"/>
          </rPr>
          <t>Dechlorinated. For extracting kasu.</t>
        </r>
      </text>
    </comment>
    <comment ref="B109" authorId="0" shapeId="0" xr:uid="{00000000-0006-0000-0400-000036000000}">
      <text>
        <r>
          <rPr>
            <sz val="11"/>
            <color theme="1"/>
            <rFont val="Calibri"/>
            <family val="2"/>
            <scheme val="minor"/>
          </rPr>
          <t>Unpasteurized vinegar with live Acetobacter (~20%).</t>
        </r>
      </text>
    </comment>
    <comment ref="B112" authorId="0" shapeId="0" xr:uid="{00000000-0006-0000-0400-000037000000}">
      <text>
        <r>
          <rPr>
            <sz val="11"/>
            <color theme="1"/>
            <rFont val="Calibri"/>
            <family val="2"/>
            <scheme val="minor"/>
          </rPr>
          <t>Submerge kasu in water, stir daily, filter.</t>
        </r>
      </text>
    </comment>
    <comment ref="B113" authorId="0" shapeId="0" xr:uid="{00000000-0006-0000-0400-000038000000}">
      <text>
        <r>
          <rPr>
            <sz val="11"/>
            <color theme="1"/>
            <rFont val="Calibri"/>
            <family val="2"/>
            <scheme val="minor"/>
          </rPr>
          <t>Acetobacter needs alcohol substrate.</t>
        </r>
      </text>
    </comment>
    <comment ref="B114" authorId="0" shapeId="0" xr:uid="{00000000-0006-0000-0400-000039000000}">
      <text>
        <r>
          <rPr>
            <sz val="11"/>
            <color theme="1"/>
            <rFont val="Calibri"/>
            <family val="2"/>
            <scheme val="minor"/>
          </rPr>
          <t>Unpasteurized vinegar contains live bacteria.</t>
        </r>
      </text>
    </comment>
    <comment ref="B115" authorId="0" shapeId="0" xr:uid="{00000000-0006-0000-0400-00003A000000}">
      <text>
        <r>
          <rPr>
            <sz val="11"/>
            <color theme="1"/>
            <rFont val="Calibri"/>
            <family val="2"/>
            <scheme val="minor"/>
          </rPr>
          <t>Aerobic. Open vessel or airlock. Monitor acidity weekly.</t>
        </r>
      </text>
    </comment>
    <comment ref="B116" authorId="0" shapeId="0" xr:uid="{00000000-0006-0000-0400-00003B000000}">
      <text>
        <r>
          <rPr>
            <sz val="11"/>
            <color theme="1"/>
            <rFont val="Calibri"/>
            <family val="2"/>
            <scheme val="minor"/>
          </rPr>
          <t>Develops complexity, mellows acidity.</t>
        </r>
      </text>
    </comment>
    <comment ref="B124" authorId="0" shapeId="0" xr:uid="{00000000-0006-0000-0400-00003C000000}">
      <text>
        <r>
          <rPr>
            <sz val="11"/>
            <color theme="1"/>
            <rFont val="Calibri"/>
            <family val="2"/>
            <scheme val="minor"/>
          </rPr>
          <t>Approximate final volume including solids.</t>
        </r>
      </text>
    </comment>
    <comment ref="B127" authorId="0" shapeId="0" xr:uid="{00000000-0006-0000-0400-00003D000000}">
      <text>
        <r>
          <rPr>
            <sz val="11"/>
            <color theme="1"/>
            <rFont val="Calibri"/>
            <family val="2"/>
            <scheme val="minor"/>
          </rPr>
          <t>Table rice OK. No polishing required.</t>
        </r>
      </text>
    </comment>
    <comment ref="B128" authorId="0" shapeId="0" xr:uid="{00000000-0006-0000-0400-00003E000000}">
      <text>
        <r>
          <rPr>
            <sz val="11"/>
            <color theme="1"/>
            <rFont val="Calibri"/>
            <family val="2"/>
            <scheme val="minor"/>
          </rPr>
          <t>~25-30% of total rice as koji.</t>
        </r>
      </text>
    </comment>
    <comment ref="B129" authorId="0" shapeId="0" xr:uid="{00000000-0006-0000-0400-00003F000000}">
      <text>
        <r>
          <rPr>
            <sz val="11"/>
            <color theme="1"/>
            <rFont val="Calibri"/>
            <family val="2"/>
            <scheme val="minor"/>
          </rPr>
          <t>Less than clear sake—thicker final product.</t>
        </r>
      </text>
    </comment>
    <comment ref="B130" authorId="0" shapeId="0" xr:uid="{00000000-0006-0000-0400-000040000000}">
      <text>
        <r>
          <rPr>
            <sz val="11"/>
            <color theme="1"/>
            <rFont val="Calibri"/>
            <family val="2"/>
            <scheme val="minor"/>
          </rPr>
          <t>Sake yeast preferred. Bread yeast works but different flavor.</t>
        </r>
      </text>
    </comment>
    <comment ref="B133" authorId="0" shapeId="0" xr:uid="{00000000-0006-0000-0400-000041000000}">
      <text>
        <r>
          <rPr>
            <sz val="11"/>
            <color theme="1"/>
            <rFont val="Calibri"/>
            <family val="2"/>
            <scheme val="minor"/>
          </rPr>
          <t>Standard sake rice preparation.</t>
        </r>
      </text>
    </comment>
    <comment ref="B134" authorId="0" shapeId="0" xr:uid="{00000000-0006-0000-0400-000042000000}">
      <text>
        <r>
          <rPr>
            <sz val="11"/>
            <color theme="1"/>
            <rFont val="Calibri"/>
            <family val="2"/>
            <scheme val="minor"/>
          </rPr>
          <t>Single-stage addition (not sandan-jikomi).</t>
        </r>
      </text>
    </comment>
    <comment ref="B135" authorId="0" shapeId="0" xr:uid="{00000000-0006-0000-0400-000043000000}">
      <text>
        <r>
          <rPr>
            <sz val="11"/>
            <color theme="1"/>
            <rFont val="Calibri"/>
            <family val="2"/>
            <scheme val="minor"/>
          </rPr>
          <t>Stir daily first 3 days, then leave alone.</t>
        </r>
      </text>
    </comment>
    <comment ref="B136" authorId="0" shapeId="0" xr:uid="{00000000-0006-0000-0400-000044000000}">
      <text>
        <r>
          <rPr>
            <sz val="11"/>
            <color theme="1"/>
            <rFont val="Calibri"/>
            <family val="2"/>
            <scheme val="minor"/>
          </rPr>
          <t>Shake before pouring. Refrigerate, consume within 1-2 weeks.</t>
        </r>
      </text>
    </comment>
    <comment ref="B144" authorId="0" shapeId="0" xr:uid="{00000000-0006-0000-0400-000045000000}">
      <text>
        <r>
          <rPr>
            <sz val="11"/>
            <color theme="1"/>
            <rFont val="Calibri"/>
            <family val="2"/>
            <scheme val="minor"/>
          </rPr>
          <t>Weight of items to pickle.</t>
        </r>
      </text>
    </comment>
    <comment ref="B147" authorId="0" shapeId="0" xr:uid="{00000000-0006-0000-0400-000046000000}">
      <text>
        <r>
          <rPr>
            <sz val="11"/>
            <color theme="1"/>
            <rFont val="Calibri"/>
            <family val="2"/>
            <scheme val="minor"/>
          </rPr>
          <t>Fresh kasu from pressing. Enough to fully surround items.</t>
        </r>
      </text>
    </comment>
    <comment ref="B148" authorId="0" shapeId="0" xr:uid="{00000000-0006-0000-0400-000047000000}">
      <text>
        <r>
          <rPr>
            <sz val="11"/>
            <color theme="1"/>
            <rFont val="Calibri"/>
            <family val="2"/>
            <scheme val="minor"/>
          </rPr>
          <t>Optional. Softens kasu, adds sweetness.</t>
        </r>
      </text>
    </comment>
    <comment ref="B149" authorId="0" shapeId="0" xr:uid="{00000000-0006-0000-0400-000048000000}">
      <text>
        <r>
          <rPr>
            <sz val="11"/>
            <color theme="1"/>
            <rFont val="Calibri"/>
            <family val="2"/>
            <scheme val="minor"/>
          </rPr>
          <t>For pre-salting vegetables. Draws moisture.</t>
        </r>
      </text>
    </comment>
    <comment ref="B152" authorId="0" shapeId="0" xr:uid="{00000000-0006-0000-0400-000049000000}">
      <text>
        <r>
          <rPr>
            <sz val="11"/>
            <color theme="1"/>
            <rFont val="Calibri"/>
            <family val="2"/>
            <scheme val="minor"/>
          </rPr>
          <t>Removes excess moisture. Skip for fish.</t>
        </r>
      </text>
    </comment>
    <comment ref="B153" authorId="0" shapeId="0" xr:uid="{00000000-0006-0000-0400-00004A000000}">
      <text>
        <r>
          <rPr>
            <sz val="11"/>
            <color theme="1"/>
            <rFont val="Calibri"/>
            <family val="2"/>
            <scheme val="minor"/>
          </rPr>
          <t>Should be paste consistency.</t>
        </r>
      </text>
    </comment>
    <comment ref="B154" authorId="0" shapeId="0" xr:uid="{00000000-0006-0000-0400-00004B000000}">
      <text>
        <r>
          <rPr>
            <sz val="11"/>
            <color theme="1"/>
            <rFont val="Calibri"/>
            <family val="2"/>
            <scheme val="minor"/>
          </rPr>
          <t>No air pockets. Items shouldn't touch.</t>
        </r>
      </text>
    </comment>
    <comment ref="B155" authorId="0" shapeId="0" xr:uid="{00000000-0006-0000-0400-00004C000000}">
      <text>
        <r>
          <rPr>
            <sz val="11"/>
            <color theme="1"/>
            <rFont val="Calibri"/>
            <family val="2"/>
            <scheme val="minor"/>
          </rPr>
          <t>Quick pickle: 1-2 weeks. Narazuke: years with kasu changes.</t>
        </r>
      </text>
    </comment>
    <comment ref="B163" authorId="0" shapeId="0" xr:uid="{00000000-0006-0000-0400-00004D000000}">
      <text>
        <r>
          <rPr>
            <sz val="11"/>
            <color theme="1"/>
            <rFont val="Calibri"/>
            <family val="2"/>
            <scheme val="minor"/>
          </rPr>
          <t>Final pressed liquid volume. Home batches typically 2-5 L.</t>
        </r>
      </text>
    </comment>
    <comment ref="B164" authorId="0" shapeId="0" xr:uid="{00000000-0006-0000-0400-00004E000000}">
      <text>
        <r>
          <rPr>
            <sz val="11"/>
            <color theme="1"/>
            <rFont val="Calibri"/>
            <family val="2"/>
            <scheme val="minor"/>
          </rPr>
          <t>Traditional koikuchi = 1:1. Usukuchi = 1:1.2 (more wheat). Tamari = soy only.</t>
        </r>
      </text>
    </comment>
    <comment ref="B165" authorId="0" shapeId="0" xr:uid="{00000000-0006-0000-0400-00004F000000}">
      <text>
        <r>
          <rPr>
            <sz val="11"/>
            <color theme="1"/>
            <rFont val="Calibri"/>
            <family val="2"/>
            <scheme val="minor"/>
          </rPr>
          <t>16-18% of total moromi weight. Higher = slower ferment, longer preservation.</t>
        </r>
      </text>
    </comment>
    <comment ref="B168" authorId="0" shapeId="0" xr:uid="{00000000-0006-0000-0400-000050000000}">
      <text>
        <r>
          <rPr>
            <sz val="11"/>
            <color theme="1"/>
            <rFont val="Calibri"/>
            <family val="2"/>
            <scheme val="minor"/>
          </rPr>
          <t>Whole soybeans. Will ~double when soaked.</t>
        </r>
      </text>
    </comment>
    <comment ref="B169" authorId="0" shapeId="0" xr:uid="{00000000-0006-0000-0400-000051000000}">
      <text>
        <r>
          <rPr>
            <sz val="11"/>
            <color theme="1"/>
            <rFont val="Calibri"/>
            <family val="2"/>
            <scheme val="minor"/>
          </rPr>
          <t>Whole wheat, roasted and cracked. Equal to soy for koikuchi.</t>
        </r>
      </text>
    </comment>
    <comment ref="B170" authorId="0" shapeId="0" xr:uid="{00000000-0006-0000-0400-000052000000}">
      <text>
        <r>
          <rPr>
            <sz val="11"/>
            <color theme="1"/>
            <rFont val="Calibri"/>
            <family val="2"/>
            <scheme val="minor"/>
          </rPr>
          <t>Aspergillus oryzae or sojae. ~0.1-0.2% of substrate.</t>
        </r>
      </text>
    </comment>
    <comment ref="B171" authorId="0" shapeId="0" xr:uid="{00000000-0006-0000-0400-000053000000}">
      <text>
        <r>
          <rPr>
            <sz val="11"/>
            <color theme="1"/>
            <rFont val="Calibri"/>
            <family val="2"/>
            <scheme val="minor"/>
          </rPr>
          <t>Sea salt. Dissolved in water to make brine.</t>
        </r>
      </text>
    </comment>
    <comment ref="B172" authorId="0" shapeId="0" xr:uid="{00000000-0006-0000-0400-000054000000}">
      <text>
        <r>
          <rPr>
            <sz val="11"/>
            <color theme="1"/>
            <rFont val="Calibri"/>
            <family val="2"/>
            <scheme val="minor"/>
          </rPr>
          <t>Enough to cover koji and create moromi mash.</t>
        </r>
      </text>
    </comment>
    <comment ref="B175" authorId="0" shapeId="0" xr:uid="{00000000-0006-0000-0400-000055000000}">
      <text>
        <r>
          <rPr>
            <sz val="11"/>
            <color theme="1"/>
            <rFont val="Calibri"/>
            <family val="2"/>
            <scheme val="minor"/>
          </rPr>
          <t>Dark, all-purpose. 80% of Japanese production.</t>
        </r>
      </text>
    </comment>
    <comment ref="B176" authorId="0" shapeId="0" xr:uid="{00000000-0006-0000-0400-000056000000}">
      <text>
        <r>
          <rPr>
            <sz val="11"/>
            <color theme="1"/>
            <rFont val="Calibri"/>
            <family val="2"/>
            <scheme val="minor"/>
          </rPr>
          <t>Light color, saltier. For delicate dishes.</t>
        </r>
      </text>
    </comment>
    <comment ref="B177" authorId="0" shapeId="0" xr:uid="{00000000-0006-0000-0400-000057000000}">
      <text>
        <r>
          <rPr>
            <sz val="11"/>
            <color theme="1"/>
            <rFont val="Calibri"/>
            <family val="2"/>
            <scheme val="minor"/>
          </rPr>
          <t>Rich, thick. Originally miso byproduct. Gluten-free.</t>
        </r>
      </text>
    </comment>
    <comment ref="B178" authorId="0" shapeId="0" xr:uid="{00000000-0006-0000-0400-000058000000}">
      <text>
        <r>
          <rPr>
            <sz val="11"/>
            <color theme="1"/>
            <rFont val="Calibri"/>
            <family val="2"/>
            <scheme val="minor"/>
          </rPr>
          <t>Very light, sweet. Short ferment.</t>
        </r>
      </text>
    </comment>
    <comment ref="B179" authorId="0" shapeId="0" xr:uid="{00000000-0006-0000-0400-000059000000}">
      <text>
        <r>
          <rPr>
            <sz val="11"/>
            <color theme="1"/>
            <rFont val="Calibri"/>
            <family val="2"/>
            <scheme val="minor"/>
          </rPr>
          <t>Double-brewed. Intense, complex.</t>
        </r>
      </text>
    </comment>
    <comment ref="B182" authorId="0" shapeId="0" xr:uid="{00000000-0006-0000-0400-00005A000000}">
      <text>
        <r>
          <rPr>
            <sz val="11"/>
            <color theme="1"/>
            <rFont val="Calibri"/>
            <family val="2"/>
            <scheme val="minor"/>
          </rPr>
          <t>Until doubled, no hard center.</t>
        </r>
      </text>
    </comment>
    <comment ref="B183" authorId="0" shapeId="0" xr:uid="{00000000-0006-0000-0400-00005B000000}">
      <text>
        <r>
          <rPr>
            <sz val="11"/>
            <color theme="1"/>
            <rFont val="Calibri"/>
            <family val="2"/>
            <scheme val="minor"/>
          </rPr>
          <t>Should mash easily between fingers.</t>
        </r>
      </text>
    </comment>
    <comment ref="B184" authorId="0" shapeId="0" xr:uid="{00000000-0006-0000-0400-00005C000000}">
      <text>
        <r>
          <rPr>
            <sz val="11"/>
            <color theme="1"/>
            <rFont val="Calibri"/>
            <family val="2"/>
            <scheme val="minor"/>
          </rPr>
          <t>Develops flavor, aids koji penetration.</t>
        </r>
      </text>
    </comment>
    <comment ref="B185" authorId="0" shapeId="0" xr:uid="{00000000-0006-0000-0400-00005D000000}">
      <text>
        <r>
          <rPr>
            <sz val="11"/>
            <color theme="1"/>
            <rFont val="Calibri"/>
            <family val="2"/>
            <scheme val="minor"/>
          </rPr>
          <t>Cool to ~30°C before inoculating.</t>
        </r>
      </text>
    </comment>
    <comment ref="B186" authorId="0" shapeId="0" xr:uid="{00000000-0006-0000-0400-00005E000000}">
      <text>
        <r>
          <rPr>
            <sz val="11"/>
            <color theme="1"/>
            <rFont val="Calibri"/>
            <family val="2"/>
            <scheme val="minor"/>
          </rPr>
          <t>Stir every 8-12 hours. Green-yellow spores = ready.</t>
        </r>
      </text>
    </comment>
    <comment ref="B187" authorId="0" shapeId="0" xr:uid="{00000000-0006-0000-0400-00005F000000}">
      <text>
        <r>
          <rPr>
            <sz val="11"/>
            <color theme="1"/>
            <rFont val="Calibri"/>
            <family val="2"/>
            <scheme val="minor"/>
          </rPr>
          <t>Submerge completely. Weight if needed.</t>
        </r>
      </text>
    </comment>
    <comment ref="B188" authorId="0" shapeId="0" xr:uid="{00000000-0006-0000-0400-000060000000}">
      <text>
        <r>
          <rPr>
            <sz val="11"/>
            <color theme="1"/>
            <rFont val="Calibri"/>
            <family val="2"/>
            <scheme val="minor"/>
          </rPr>
          <t>Stir weekly first month, then monthly. Summer heat accelerates.</t>
        </r>
      </text>
    </comment>
    <comment ref="B189" authorId="0" shapeId="0" xr:uid="{00000000-0006-0000-0400-000061000000}">
      <text>
        <r>
          <rPr>
            <sz val="11"/>
            <color theme="1"/>
            <rFont val="Calibri"/>
            <family val="2"/>
            <scheme val="minor"/>
          </rPr>
          <t>Raw shoyu. Sediment settles over days.</t>
        </r>
      </text>
    </comment>
    <comment ref="B190" authorId="0" shapeId="0" xr:uid="{00000000-0006-0000-0400-000062000000}">
      <text>
        <r>
          <rPr>
            <sz val="11"/>
            <color theme="1"/>
            <rFont val="Calibri"/>
            <family val="2"/>
            <scheme val="minor"/>
          </rPr>
          <t>Stops fermentation, clarifies. Nama-shoyu = unpasteurized.</t>
        </r>
      </text>
    </comment>
    <comment ref="B198" authorId="0" shapeId="0" xr:uid="{00000000-0006-0000-0400-000063000000}">
      <text>
        <r>
          <rPr>
            <sz val="11"/>
            <color theme="1"/>
            <rFont val="Calibri"/>
            <family val="2"/>
            <scheme val="minor"/>
          </rPr>
          <t>Final pressed liquid. Yield lower than koikuchi due to less wheat starch.</t>
        </r>
      </text>
    </comment>
    <comment ref="B199" authorId="0" shapeId="0" xr:uid="{00000000-0006-0000-0400-000064000000}">
      <text>
        <r>
          <rPr>
            <sz val="11"/>
            <color theme="1"/>
            <rFont val="Calibri"/>
            <family val="2"/>
            <scheme val="minor"/>
          </rPr>
          <t>Slightly lower than koikuchi. 15-17% typical.</t>
        </r>
      </text>
    </comment>
    <comment ref="B202" authorId="0" shapeId="0" xr:uid="{00000000-0006-0000-0400-000065000000}">
      <text>
        <r>
          <rPr>
            <sz val="11"/>
            <color theme="1"/>
            <rFont val="Calibri"/>
            <family val="2"/>
            <scheme val="minor"/>
          </rPr>
          <t>More soy needed since no wheat contribution.</t>
        </r>
      </text>
    </comment>
    <comment ref="B203" authorId="0" shapeId="0" xr:uid="{00000000-0006-0000-0400-000066000000}">
      <text>
        <r>
          <rPr>
            <sz val="11"/>
            <color theme="1"/>
            <rFont val="Calibri"/>
            <family val="2"/>
            <scheme val="minor"/>
          </rPr>
          <t>Use soy koji (A. sojae) or standard A. oryzae.</t>
        </r>
      </text>
    </comment>
    <comment ref="B204" authorId="0" shapeId="0" xr:uid="{00000000-0006-0000-0400-000067000000}">
      <text>
        <r>
          <rPr>
            <sz val="11"/>
            <color theme="1"/>
            <rFont val="Calibri"/>
            <family val="2"/>
            <scheme val="minor"/>
          </rPr>
          <t>Sea salt for brine.</t>
        </r>
      </text>
    </comment>
    <comment ref="B205" authorId="0" shapeId="0" xr:uid="{00000000-0006-0000-0400-000068000000}">
      <text>
        <r>
          <rPr>
            <sz val="11"/>
            <color theme="1"/>
            <rFont val="Calibri"/>
            <family val="2"/>
            <scheme val="minor"/>
          </rPr>
          <t>Less water than koikuchi—thicker moromi.</t>
        </r>
      </text>
    </comment>
    <comment ref="B208" authorId="0" shapeId="0" xr:uid="{00000000-0006-0000-0400-000069000000}">
      <text>
        <r>
          <rPr>
            <sz val="11"/>
            <color theme="1"/>
            <rFont val="Calibri"/>
            <family val="2"/>
            <scheme val="minor"/>
          </rPr>
          <t>Steam until very soft.</t>
        </r>
      </text>
    </comment>
    <comment ref="B209" authorId="0" shapeId="0" xr:uid="{00000000-0006-0000-0400-00006A000000}">
      <text>
        <r>
          <rPr>
            <sz val="11"/>
            <color theme="1"/>
            <rFont val="Calibri"/>
            <family val="2"/>
            <scheme val="minor"/>
          </rPr>
          <t>Traditional method. Increases surface area for koji.</t>
        </r>
      </text>
    </comment>
    <comment ref="B210" authorId="0" shapeId="0" xr:uid="{00000000-0006-0000-0400-00006B000000}">
      <text>
        <r>
          <rPr>
            <sz val="11"/>
            <color theme="1"/>
            <rFont val="Calibri"/>
            <family val="2"/>
            <scheme val="minor"/>
          </rPr>
          <t>May take longer without wheat.</t>
        </r>
      </text>
    </comment>
    <comment ref="B211" authorId="0" shapeId="0" xr:uid="{00000000-0006-0000-0400-00006C000000}">
      <text>
        <r>
          <rPr>
            <sz val="11"/>
            <color theme="1"/>
            <rFont val="Calibri"/>
            <family val="2"/>
            <scheme val="minor"/>
          </rPr>
          <t>Longer than koikuchi. Develops deeper flavor.</t>
        </r>
      </text>
    </comment>
    <comment ref="B212" authorId="0" shapeId="0" xr:uid="{00000000-0006-0000-0400-00006D000000}">
      <text>
        <r>
          <rPr>
            <sz val="11"/>
            <color theme="1"/>
            <rFont val="Calibri"/>
            <family val="2"/>
            <scheme val="minor"/>
          </rPr>
          <t>Some aged additional 6 mo after pressing.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4" authorId="0" shapeId="0" xr:uid="{00000000-0006-0000-0500-000001000000}">
      <text>
        <r>
          <rPr>
            <sz val="11"/>
            <color theme="1"/>
            <rFont val="Calibri"/>
            <family val="2"/>
            <scheme val="minor"/>
          </rPr>
          <t>Wash Water Temperature (洗米水温度)
Temperature of water for washing to remove nuka (bran lipids).
TIME NEEDED BY TEMPERATURE:
• 5-8°C: 10+ min for linoleic only
• 8-12°C: 5-8 min for linoleic + partial oleic  
• 12-15°C: 3-5 min for most unsaturated fats
• 15-18°C: 3-5 min for thorough extraction
• 18-25°C: 2-3 min fast extraction (low polish only)
KEY FAT MELTING POINTS:
• Linoleic: -5°C (always mobile)
• Oleic: 13°C (key threshold!)
• Palmitic: 63°C (never extracted in cold wash)
Above 13°C, oleic acid becomes mobile and extraction improves significantly. Use colder temps for high polish to maintain timing control despite reduced fat removal.</t>
        </r>
      </text>
    </comment>
    <comment ref="B5" authorId="0" shapeId="0" xr:uid="{00000000-0006-0000-0500-000002000000}">
      <text>
        <r>
          <rPr>
            <sz val="11"/>
            <color theme="1"/>
            <rFont val="Calibri"/>
            <family val="2"/>
            <scheme val="minor"/>
          </rPr>
          <t>Wash Time for Nuka Removal (洗米時間)
Time spent washing rice to remove nuka (bran powder containing fats).
FAT REMOVAL TIMING:
• 1-2 min: Surface nuka only
• 3-5 min: Good nuka removal for most rice
• 5-10 min: Thorough removal for low polish (≥80%)
BY POLISH RATIO:
• ≤50%: 1-2 min max (ultra-fragile, minimal handling)
• 60%: 2-3 min (very fragile)
• 70%: 3-5 min (standard)
• 80%: 5-7 min (can handle more)
• 90%: 7-10 min (robust, needs longer)
CRITICAL: Gentle motion only! Vigorous washing causes grain cracking. Rice absorbs water during washing, so this time counts toward total moisture uptake.</t>
        </r>
      </text>
    </comment>
    <comment ref="B6" authorId="0" shapeId="0" xr:uid="{00000000-0006-0000-0500-000003000000}">
      <text>
        <r>
          <rPr>
            <sz val="11"/>
            <color theme="1"/>
            <rFont val="Calibri"/>
            <family val="2"/>
            <scheme val="minor"/>
          </rPr>
          <t>Soak Water Temperature (浸漬水温度)
Temperature of water used for soaking.
• Cold water (8-12°C) essential for high polish
• Should match wash water temp
• Colder = longer soak time but more control
Absorption rate doubles with each 10°C increase.</t>
        </r>
      </text>
    </comment>
    <comment ref="B7" authorId="0" shapeId="0" xr:uid="{00000000-0006-0000-0500-000004000000}">
      <text>
        <r>
          <rPr>
            <sz val="11"/>
            <color theme="1"/>
            <rFont val="Calibri"/>
            <family val="2"/>
            <scheme val="minor"/>
          </rPr>
          <t>Actual Soak Time (実際の浸漬時間)
Record the actual time you soaked the rice.
• Compare to recommended soak time below
• High polish rice: seconds matter!
• Start timing when rice enters water
Use stopwatch for ≤60% polish rice.</t>
        </r>
      </text>
    </comment>
    <comment ref="B8" authorId="0" shapeId="0" xr:uid="{00000000-0006-0000-0500-000005000000}">
      <text>
        <r>
          <rPr>
            <sz val="11"/>
            <color theme="1"/>
            <rFont val="Calibri"/>
            <family val="2"/>
            <scheme val="minor"/>
          </rPr>
          <t>Rice Storage Temperature (米の保管温度)
Temperature at which rice has been stored before washing.
• Refrigerated: 5-10°C
• Room temp: 15-20°C
• Cold storage reduces cracking risk
Both wash AND soak water should be within 5°C of this temp.</t>
        </r>
      </text>
    </comment>
    <comment ref="D9" authorId="0" shapeId="0" xr:uid="{00000000-0006-0000-0500-000006000000}">
      <text>
        <r>
          <rPr>
            <sz val="11"/>
            <color theme="1"/>
            <rFont val="Calibri"/>
            <family val="2"/>
            <scheme val="minor"/>
          </rPr>
          <t>Cracking Risk Assessment
Checks the larger temperature differential between:
• Wash water vs rice storage
• Soak water vs rice storage
≤5°C: OK - minimal risk
6-10°C: Caution - some cracking possible
&gt;10°C: HIGH RISK - significant cracking expected
Highly polished rice is especially fragile.</t>
        </r>
      </text>
    </comment>
    <comment ref="B15" authorId="0" shapeId="0" xr:uid="{00000000-0006-0000-0500-000007000000}">
      <text>
        <r>
          <rPr>
            <sz val="11"/>
            <color theme="1"/>
            <rFont val="Calibri"/>
            <family val="2"/>
            <scheme val="minor"/>
          </rPr>
          <t>Soaking time calculated from polish ratio and target moisture. Formula accounts for absorption rate which accelerates exponentially with polish level. Cold water (5-15°C) slows absorption allowing precise control. Critical: over-soaking creates mushy rice that clumps during steaming.</t>
        </r>
      </text>
    </comment>
    <comment ref="B19" authorId="0" shapeId="0" xr:uid="{00000000-0006-0000-0500-000008000000}">
      <text>
        <r>
          <rPr>
            <sz val="11"/>
            <color theme="1"/>
            <rFont val="Calibri"/>
            <family val="2"/>
            <scheme val="minor"/>
          </rPr>
          <t>Karashi Rest Time (枯らし時間)
Resting period after draining, before steaming.
• Minimum: 45-60 minutes
• Extended: 2-4 hours (common)
• Overnight: 12-24 hours (some brewers)
Purpose: Allows water to diffuse from surface to grain center for even moisture distribution. Longer rest = more uniform steaming. Cover rice to prevent drying.</t>
        </r>
      </text>
    </comment>
    <comment ref="D20" authorId="0" shapeId="0" xr:uid="{00000000-0006-0000-0500-000009000000}">
      <text>
        <r>
          <rPr>
            <sz val="11"/>
            <color theme="1"/>
            <rFont val="Calibri"/>
            <family val="2"/>
            <scheme val="minor"/>
          </rPr>
          <t>Fat Extraction Estimate
Based on wash water temperature and lipid melting points:
LOW (&lt;10°C): Most fats remain bound
• Palmitic (63°C mp) - solid
• Oleic (13°C mp) - mostly solid
• Linoleic (-5°C mp) - liquid but bound
MODERATE (10-15°C): Partial extraction
• Oleic begins to mobilize above 13°C
• Better removal of unsaturated fats
GOOD (&gt;15°C): Effective extraction
• Oleic and linoleic readily removed
• Only palmitic remains bound
Higher fat removal = cleaner fermentation flavor, but requires more precise timing control due to faster water absorption.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5" authorId="0" shapeId="0" xr:uid="{00000000-0006-0000-0600-000001000000}">
      <text>
        <r>
          <rPr>
            <sz val="11"/>
            <color theme="1"/>
            <rFont val="Calibri"/>
            <family val="2"/>
            <scheme val="minor"/>
          </rPr>
          <t>Target yeast cell density (cells/mL). Standard range: 2-5 million cells/mL of moromi. Higher pitch (5M) = cleaner, quicker ferment with less amino acid production. Lower pitch (2M) = more complex flavor from amino acids but higher stuck ferment risk. Balance depends on style goals.</t>
        </r>
      </text>
    </comment>
    <comment ref="B14" authorId="0" shapeId="0" xr:uid="{00000000-0006-0000-0600-000002000000}">
      <text>
        <r>
          <rPr>
            <sz val="11"/>
            <color theme="1"/>
            <rFont val="Calibri"/>
            <family val="2"/>
            <scheme val="minor"/>
          </rPr>
          <t>Starter volume as percentage of moto weight. Typical range: 3-7% for liquid yeast starter. Too low = insufficient cells even at high density. Too high = dilutes moto changing its role in sandan-jikomi geometric progression. Consider moto weight when calculating pitch.</t>
        </r>
      </text>
    </comment>
    <comment ref="B17" authorId="0" shapeId="0" xr:uid="{00000000-0006-0000-0600-000003000000}">
      <text>
        <r>
          <rPr>
            <sz val="11"/>
            <color theme="1"/>
            <rFont val="Calibri"/>
            <family val="2"/>
            <scheme val="minor"/>
          </rPr>
          <t>Fermentation vigor multiplier from nitrogen profile.
Low-polish rice = more minerals = faster yeast growth.
&gt;1.0: Vigorous ferment expected
&lt;1.0: Slow ferment expected</t>
        </r>
      </text>
    </comment>
    <comment ref="B18" authorId="0" shapeId="0" xr:uid="{00000000-0006-0000-0600-000004000000}">
      <text>
        <r>
          <rPr>
            <sz val="11"/>
            <color theme="1"/>
            <rFont val="Calibri"/>
            <family val="2"/>
            <scheme val="minor"/>
          </rPr>
          <t>Pitch rate adjusted for nitrogen availability.
Low-polish (high vigor): reduce pitch to slow ferment
High-polish (low vigor): increase pitch for reliability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A1" authorId="0" shapeId="0" xr:uid="{00000000-0006-0000-0700-000001000000}">
      <text>
        <r>
          <rPr>
            <sz val="11"/>
            <color theme="1"/>
            <rFont val="Calibri"/>
            <family val="2"/>
            <scheme val="minor"/>
          </rPr>
          <t>Hi-ire (火入れ) Calculator
This tool helps you plan sake pasteurization.
Pasteurization in sake:
• Kills spoilage organisms
• Stops enzymatic activity
• Stabilizes flavor for storage
Unlike beer/wine, sake traditionally uses
lower temperatures (60-65°C) because the
high alcohol content aids preservation.
The Japanese term 火入れ (hi-ire) literally
means 'adding fire' - heating the sake.</t>
        </r>
      </text>
    </comment>
    <comment ref="A3" authorId="0" shapeId="0" xr:uid="{00000000-0006-0000-0700-000002000000}">
      <text>
        <r>
          <rPr>
            <sz val="11"/>
            <color theme="1"/>
            <rFont val="Calibri"/>
            <family val="2"/>
            <scheme val="minor"/>
          </rPr>
          <t>Enter your batch details here.
Blue cells = dropdown selections
Green cells = type your values
Gray cells = calculated results
Hover over any cell for detailed
explanation of what to enter.</t>
        </r>
      </text>
    </comment>
    <comment ref="A4" authorId="0" shapeId="0" xr:uid="{00000000-0006-0000-0700-000003000000}">
      <text>
        <r>
          <rPr>
            <sz val="11"/>
            <color theme="1"/>
            <rFont val="Calibri"/>
            <family val="2"/>
            <scheme val="minor"/>
          </rPr>
          <t>What is your pasteurization objective?
This determines the minimum temperature
and hold time required.
Different organisms die at different
temperatures (see Hirai 1962 research
in the Reference section below).</t>
        </r>
      </text>
    </comment>
    <comment ref="B4" authorId="0" shapeId="0" xr:uid="{00000000-0006-0000-0700-000004000000}">
      <text>
        <r>
          <rPr>
            <sz val="11"/>
            <color theme="1"/>
            <rFont val="Calibri"/>
            <family val="2"/>
            <scheme val="minor"/>
          </rPr>
          <t>PASTEURIZATION GOALS:
Yeast only (60°C):
  Stops fermentation.
  Enzymes remain active.
  Flavor continues evolving.
Standard hi-ire (65°C):
  Industry standard.
  Kills yeast + deactivates enzymes.
  Locks in current flavor.
Full stability (65°C 2x):
  TWO SEPARATE SESSIONS:
  1st: Before storage (in-tank or bottles)
  2nd: Before shipping (in-bottle)
  This is NOT double hold time!
  It's two complete heat cycles
  at different points in production.
  PU is cumulative within each cycle,
  but 2x addresses different risks:
  - 1st kills current bugs
  - 2nd kills any contamination since
Source: BrewSake.org</t>
        </r>
      </text>
    </comment>
    <comment ref="A5" authorId="0" shapeId="0" xr:uid="{00000000-0006-0000-0700-000005000000}">
      <text>
        <r>
          <rPr>
            <sz val="11"/>
            <color theme="1"/>
            <rFont val="Calibri"/>
            <family val="2"/>
            <scheme val="minor"/>
          </rPr>
          <t>What container will you pasteurize in?
This affects heat-up time significantly.
Larger containers take much longer for
heat to penetrate to the center.
Standard Japanese sizes:
• 四合瓶 (shigoubin) = 720mL
• 一升瓶 (isshoubin) = 1.8L
• 一合 (ichigo) = 180mL cup</t>
        </r>
      </text>
    </comment>
    <comment ref="B5" authorId="0" shapeId="0" xr:uid="{00000000-0006-0000-0700-000006000000}">
      <text>
        <r>
          <rPr>
            <sz val="11"/>
            <color rgb="FF000000"/>
            <rFont val="Calibri"/>
            <family val="2"/>
          </rPr>
          <t xml:space="preserve">CONTAINER SIZES:
</t>
        </r>
        <r>
          <rPr>
            <sz val="11"/>
            <color rgb="FF000000"/>
            <rFont val="Calibri"/>
            <family val="2"/>
          </rPr>
          <t xml:space="preserve">
</t>
        </r>
        <r>
          <rPr>
            <sz val="11"/>
            <color rgb="FF000000"/>
            <rFont val="Calibri"/>
            <family val="2"/>
          </rPr>
          <t xml:space="preserve">720mL bottle:
</t>
        </r>
        <r>
          <rPr>
            <sz val="11"/>
            <color rgb="FF000000"/>
            <rFont val="Calibri"/>
            <family val="2"/>
          </rPr>
          <t xml:space="preserve">  Standard retail size in Japan (</t>
        </r>
        <r>
          <rPr>
            <sz val="11"/>
            <color rgb="FF000000"/>
            <rFont val="Calibri"/>
            <family val="2"/>
          </rPr>
          <t>四合瓶</t>
        </r>
        <r>
          <rPr>
            <sz val="11"/>
            <color rgb="FF000000"/>
            <rFont val="Calibri"/>
            <family val="2"/>
          </rPr>
          <t xml:space="preserve">).
</t>
        </r>
        <r>
          <rPr>
            <sz val="11"/>
            <color rgb="FF000000"/>
            <rFont val="Calibri"/>
            <family val="2"/>
          </rPr>
          <t xml:space="preserve">  Heat-up time: 10-15 minutes.
</t>
        </r>
        <r>
          <rPr>
            <sz val="11"/>
            <color rgb="FF000000"/>
            <rFont val="Calibri"/>
            <family val="2"/>
          </rPr>
          <t xml:space="preserve">  Full cycle: ~45 minutes.
</t>
        </r>
        <r>
          <rPr>
            <sz val="11"/>
            <color rgb="FF000000"/>
            <rFont val="Calibri"/>
            <family val="2"/>
          </rPr>
          <t xml:space="preserve">
</t>
        </r>
        <r>
          <rPr>
            <sz val="11"/>
            <color rgb="FF000000"/>
            <rFont val="Calibri"/>
            <family val="2"/>
          </rPr>
          <t xml:space="preserve">1.8L bottle:
</t>
        </r>
        <r>
          <rPr>
            <sz val="11"/>
            <color rgb="FF000000"/>
            <rFont val="Calibri"/>
            <family val="2"/>
          </rPr>
          <t xml:space="preserve">  Traditional large format (</t>
        </r>
        <r>
          <rPr>
            <sz val="11"/>
            <color rgb="FF000000"/>
            <rFont val="Calibri"/>
            <family val="2"/>
          </rPr>
          <t>一升瓶</t>
        </r>
        <r>
          <rPr>
            <sz val="11"/>
            <color rgb="FF000000"/>
            <rFont val="Calibri"/>
            <family val="2"/>
          </rPr>
          <t xml:space="preserve">).
</t>
        </r>
        <r>
          <rPr>
            <sz val="11"/>
            <color rgb="FF000000"/>
            <rFont val="Calibri"/>
            <family val="2"/>
          </rPr>
          <t xml:space="preserve">  Heat-up time: 20-25 minutes.
</t>
        </r>
        <r>
          <rPr>
            <sz val="11"/>
            <color rgb="FF000000"/>
            <rFont val="Calibri"/>
            <family val="2"/>
          </rPr>
          <t xml:space="preserve">  Full cycle: ~70 minutes.
</t>
        </r>
        <r>
          <rPr>
            <sz val="11"/>
            <color rgb="FF000000"/>
            <rFont val="Calibri"/>
            <family val="2"/>
          </rPr>
          <t xml:space="preserve">
</t>
        </r>
        <r>
          <rPr>
            <sz val="11"/>
            <color rgb="FF000000"/>
            <rFont val="Calibri"/>
            <family val="2"/>
          </rPr>
          <t xml:space="preserve">750mL bottle:
</t>
        </r>
        <r>
          <rPr>
            <sz val="11"/>
            <color rgb="FF000000"/>
            <rFont val="Calibri"/>
            <family val="2"/>
          </rPr>
          <t xml:space="preserve">  US/EU wine standard size.
</t>
        </r>
        <r>
          <rPr>
            <sz val="11"/>
            <color rgb="FF000000"/>
            <rFont val="Calibri"/>
            <family val="2"/>
          </rPr>
          <t xml:space="preserve">  Similar timing to 720mL.
</t>
        </r>
        <r>
          <rPr>
            <sz val="11"/>
            <color rgb="FF000000"/>
            <rFont val="Calibri"/>
            <family val="2"/>
          </rPr>
          <t xml:space="preserve">
</t>
        </r>
        <r>
          <rPr>
            <sz val="11"/>
            <color rgb="FF000000"/>
            <rFont val="Calibri"/>
            <family val="2"/>
          </rPr>
          <t xml:space="preserve">180mL cup:
</t>
        </r>
        <r>
          <rPr>
            <sz val="11"/>
            <color rgb="FF000000"/>
            <rFont val="Calibri"/>
            <family val="2"/>
          </rPr>
          <t xml:space="preserve">  Single serving (</t>
        </r>
        <r>
          <rPr>
            <sz val="11"/>
            <color rgb="FF000000"/>
            <rFont val="Calibri"/>
            <family val="2"/>
          </rPr>
          <t>一合</t>
        </r>
        <r>
          <rPr>
            <sz val="11"/>
            <color rgb="FF000000"/>
            <rFont val="Calibri"/>
            <family val="2"/>
          </rPr>
          <t xml:space="preserve">/ichigo).
</t>
        </r>
        <r>
          <rPr>
            <sz val="11"/>
            <color rgb="FF000000"/>
            <rFont val="Calibri"/>
            <family val="2"/>
          </rPr>
          <t xml:space="preserve">  Fast heat-up: 5-8 minutes.
</t>
        </r>
        <r>
          <rPr>
            <sz val="11"/>
            <color rgb="FF000000"/>
            <rFont val="Calibri"/>
            <family val="2"/>
          </rPr>
          <t xml:space="preserve">
</t>
        </r>
        <r>
          <rPr>
            <sz val="11"/>
            <color rgb="FF000000"/>
            <rFont val="Calibri"/>
            <family val="2"/>
          </rPr>
          <t xml:space="preserve">Bulk tank:
</t>
        </r>
        <r>
          <rPr>
            <sz val="11"/>
            <color rgb="FF000000"/>
            <rFont val="Calibri"/>
            <family val="2"/>
          </rPr>
          <t xml:space="preserve">  For plate HX or jacketed tank methods.</t>
        </r>
      </text>
    </comment>
    <comment ref="A6" authorId="0" shapeId="0" xr:uid="{00000000-0006-0000-0700-000007000000}">
      <text>
        <r>
          <rPr>
            <sz val="11"/>
            <color theme="1"/>
            <rFont val="Calibri"/>
            <family val="2"/>
            <scheme val="minor"/>
          </rPr>
          <t>How will you apply heat?
Methods divide into two categories:
IN-PACKAGE: Heat after filling bottles.
  Simpler, no sterile fill needed.
BULK: Heat before filling bottles.
  Faster, but requires sterile fill
  equipment to avoid recontamination.</t>
        </r>
      </text>
    </comment>
    <comment ref="B6" authorId="0" shapeId="0" xr:uid="{00000000-0006-0000-0700-000008000000}">
      <text>
        <r>
          <rPr>
            <sz val="11"/>
            <color rgb="FF000000"/>
            <rFont val="Calibri"/>
            <family val="2"/>
          </rPr>
          <t xml:space="preserve">PASTEURIZATION METHODS:
</t>
        </r>
        <r>
          <rPr>
            <sz val="11"/>
            <color rgb="FF000000"/>
            <rFont val="Calibri"/>
            <family val="2"/>
          </rPr>
          <t xml:space="preserve">
</t>
        </r>
        <r>
          <rPr>
            <sz val="11"/>
            <color rgb="FF000000"/>
            <rFont val="Calibri"/>
            <family val="2"/>
          </rPr>
          <t xml:space="preserve">IN-PACKAGE METHODS:
</t>
        </r>
        <r>
          <rPr>
            <sz val="11"/>
            <color rgb="FF000000"/>
            <rFont val="Calibri"/>
            <family val="2"/>
          </rPr>
          <t xml:space="preserve">
</t>
        </r>
        <r>
          <rPr>
            <sz val="11"/>
            <color rgb="FF000000"/>
            <rFont val="Calibri"/>
            <family val="2"/>
          </rPr>
          <t>Water bath (</t>
        </r>
        <r>
          <rPr>
            <sz val="11"/>
            <color rgb="FF000000"/>
            <rFont val="Calibri"/>
            <family val="2"/>
          </rPr>
          <t>瓶燗</t>
        </r>
        <r>
          <rPr>
            <sz val="11"/>
            <color rgb="FF000000"/>
            <rFont val="Calibri"/>
            <family val="2"/>
          </rPr>
          <t xml:space="preserve">/binkan):
</t>
        </r>
        <r>
          <rPr>
            <sz val="11"/>
            <color rgb="FF000000"/>
            <rFont val="Calibri"/>
            <family val="2"/>
          </rPr>
          <t xml:space="preserve">  Fill bottles, cap, immerse in hot water.
</t>
        </r>
        <r>
          <rPr>
            <sz val="11"/>
            <color rgb="FF000000"/>
            <rFont val="Calibri"/>
            <family val="2"/>
          </rPr>
          <t xml:space="preserve">  Most common small-scale method.
</t>
        </r>
        <r>
          <rPr>
            <sz val="11"/>
            <color rgb="FF000000"/>
            <rFont val="Calibri"/>
            <family val="2"/>
          </rPr>
          <t xml:space="preserve">  Simple equipment: pot, thermometer.
</t>
        </r>
        <r>
          <rPr>
            <sz val="11"/>
            <color rgb="FF000000"/>
            <rFont val="Calibri"/>
            <family val="2"/>
          </rPr>
          <t xml:space="preserve">
</t>
        </r>
        <r>
          <rPr>
            <sz val="11"/>
            <color rgb="FF000000"/>
            <rFont val="Calibri"/>
            <family val="2"/>
          </rPr>
          <t xml:space="preserve">Sous vide:
</t>
        </r>
        <r>
          <rPr>
            <sz val="11"/>
            <color rgb="FF000000"/>
            <rFont val="Calibri"/>
            <family val="2"/>
          </rPr>
          <t xml:space="preserve">  Precise temperature control.
</t>
        </r>
        <r>
          <rPr>
            <sz val="11"/>
            <color rgb="FF000000"/>
            <rFont val="Calibri"/>
            <family val="2"/>
          </rPr>
          <t xml:space="preserve">  Uses immersion circulator.
</t>
        </r>
        <r>
          <rPr>
            <sz val="11"/>
            <color rgb="FF000000"/>
            <rFont val="Calibri"/>
            <family val="2"/>
          </rPr>
          <t xml:space="preserve">  Very consistent results.
</t>
        </r>
        <r>
          <rPr>
            <sz val="11"/>
            <color rgb="FF000000"/>
            <rFont val="Calibri"/>
            <family val="2"/>
          </rPr>
          <t xml:space="preserve">
</t>
        </r>
        <r>
          <rPr>
            <sz val="11"/>
            <color rgb="FF000000"/>
            <rFont val="Calibri"/>
            <family val="2"/>
          </rPr>
          <t>Hot fill (</t>
        </r>
        <r>
          <rPr>
            <sz val="11"/>
            <color rgb="FF000000"/>
            <rFont val="Calibri"/>
            <family val="2"/>
          </rPr>
          <t>熱充填</t>
        </r>
        <r>
          <rPr>
            <sz val="11"/>
            <color rgb="FF000000"/>
            <rFont val="Calibri"/>
            <family val="2"/>
          </rPr>
          <t xml:space="preserve">/netsujuuten):
</t>
        </r>
        <r>
          <rPr>
            <sz val="11"/>
            <color rgb="FF000000"/>
            <rFont val="Calibri"/>
            <family val="2"/>
          </rPr>
          <t xml:space="preserve">  Heat sake, fill bottles hot, cap.
</t>
        </r>
        <r>
          <rPr>
            <sz val="11"/>
            <color rgb="FF000000"/>
            <rFont val="Calibri"/>
            <family val="2"/>
          </rPr>
          <t xml:space="preserve">  Requires heat-resistant bottles.
</t>
        </r>
        <r>
          <rPr>
            <sz val="11"/>
            <color rgb="FF000000"/>
            <rFont val="Calibri"/>
            <family val="2"/>
          </rPr>
          <t xml:space="preserve">  Fast but needs careful handling.
</t>
        </r>
        <r>
          <rPr>
            <sz val="11"/>
            <color rgb="FF000000"/>
            <rFont val="Calibri"/>
            <family val="2"/>
          </rPr>
          <t xml:space="preserve">
</t>
        </r>
        <r>
          <rPr>
            <sz val="11"/>
            <color rgb="FF000000"/>
            <rFont val="Calibri"/>
            <family val="2"/>
          </rPr>
          <t xml:space="preserve">BULK METHODS:
</t>
        </r>
        <r>
          <rPr>
            <sz val="11"/>
            <color rgb="FF000000"/>
            <rFont val="Calibri"/>
            <family val="2"/>
          </rPr>
          <t xml:space="preserve">
</t>
        </r>
        <r>
          <rPr>
            <sz val="11"/>
            <color rgb="FF000000"/>
            <rFont val="Calibri"/>
            <family val="2"/>
          </rPr>
          <t xml:space="preserve">Plate heat exchanger:
</t>
        </r>
        <r>
          <rPr>
            <sz val="11"/>
            <color rgb="FF000000"/>
            <rFont val="Calibri"/>
            <family val="2"/>
          </rPr>
          <t xml:space="preserve">  Continuous flow between plates.
</t>
        </r>
        <r>
          <rPr>
            <sz val="11"/>
            <color rgb="FF000000"/>
            <rFont val="Calibri"/>
            <family val="2"/>
          </rPr>
          <t xml:space="preserve">  Very fast, efficient for volume.
</t>
        </r>
        <r>
          <rPr>
            <sz val="11"/>
            <color rgb="FF000000"/>
            <rFont val="Calibri"/>
            <family val="2"/>
          </rPr>
          <t xml:space="preserve">  </t>
        </r>
        <r>
          <rPr>
            <sz val="11"/>
            <color rgb="FF000000"/>
            <rFont val="Calibri"/>
            <family val="2"/>
          </rPr>
          <t>⚠</t>
        </r>
        <r>
          <rPr>
            <sz val="11"/>
            <color rgb="FF000000"/>
            <rFont val="Calibri"/>
            <family val="2"/>
          </rPr>
          <t xml:space="preserve"> Requires sterile fill after!
</t>
        </r>
        <r>
          <rPr>
            <sz val="11"/>
            <color rgb="FF000000"/>
            <rFont val="Calibri"/>
            <family val="2"/>
          </rPr>
          <t xml:space="preserve">
</t>
        </r>
        <r>
          <rPr>
            <sz val="11"/>
            <color rgb="FF000000"/>
            <rFont val="Calibri"/>
            <family val="2"/>
          </rPr>
          <t>Jakan coil (</t>
        </r>
        <r>
          <rPr>
            <sz val="11"/>
            <color rgb="FF000000"/>
            <rFont val="Calibri"/>
            <family val="2"/>
          </rPr>
          <t>蛇管</t>
        </r>
        <r>
          <rPr>
            <sz val="11"/>
            <color rgb="FF000000"/>
            <rFont val="Calibri"/>
            <family val="2"/>
          </rPr>
          <t xml:space="preserve">/jakan):
</t>
        </r>
        <r>
          <rPr>
            <sz val="11"/>
            <color rgb="FF000000"/>
            <rFont val="Calibri"/>
            <family val="2"/>
          </rPr>
          <t xml:space="preserve">  Copper coil immersed in hot water.
</t>
        </r>
        <r>
          <rPr>
            <sz val="11"/>
            <color rgb="FF000000"/>
            <rFont val="Calibri"/>
            <family val="2"/>
          </rPr>
          <t xml:space="preserve">  Sake flows through coil.
</t>
        </r>
        <r>
          <rPr>
            <sz val="11"/>
            <color rgb="FF000000"/>
            <rFont val="Calibri"/>
            <family val="2"/>
          </rPr>
          <t xml:space="preserve">  Traditional Japanese method.
</t>
        </r>
        <r>
          <rPr>
            <sz val="11"/>
            <color rgb="FF000000"/>
            <rFont val="Calibri"/>
            <family val="2"/>
          </rPr>
          <t xml:space="preserve">
</t>
        </r>
        <r>
          <rPr>
            <sz val="11"/>
            <color rgb="FF000000"/>
            <rFont val="Calibri"/>
            <family val="2"/>
          </rPr>
          <t xml:space="preserve">Jacketed tank:
</t>
        </r>
        <r>
          <rPr>
            <sz val="11"/>
            <color rgb="FF000000"/>
            <rFont val="Calibri"/>
            <family val="2"/>
          </rPr>
          <t xml:space="preserve">  Steam or hot water jacket around tank.
</t>
        </r>
        <r>
          <rPr>
            <sz val="11"/>
            <color rgb="FF000000"/>
            <rFont val="Calibri"/>
            <family val="2"/>
          </rPr>
          <t xml:space="preserve">  Heats sake in bulk.
</t>
        </r>
        <r>
          <rPr>
            <sz val="11"/>
            <color rgb="FF000000"/>
            <rFont val="Calibri"/>
            <family val="2"/>
          </rPr>
          <t xml:space="preserve">  </t>
        </r>
        <r>
          <rPr>
            <sz val="11"/>
            <color rgb="FF000000"/>
            <rFont val="Calibri"/>
            <family val="2"/>
          </rPr>
          <t>⚠</t>
        </r>
        <r>
          <rPr>
            <sz val="11"/>
            <color rgb="FF000000"/>
            <rFont val="Calibri"/>
            <family val="2"/>
          </rPr>
          <t xml:space="preserve"> Requires sterile fill after!</t>
        </r>
      </text>
    </comment>
    <comment ref="A7" authorId="0" shapeId="0" xr:uid="{00000000-0006-0000-0700-000009000000}">
      <text>
        <r>
          <rPr>
            <sz val="11"/>
            <color theme="1"/>
            <rFont val="Calibri"/>
            <family val="2"/>
            <scheme val="minor"/>
          </rPr>
          <t>Alcohol by volume at pasteurization.
Enter the current alcohol percentage.
This affects microbe survival rates.
Higher alcohol = easier to kill bacteria.
Lower alcohol = need higher temps.</t>
        </r>
      </text>
    </comment>
    <comment ref="B7" authorId="0" shapeId="0" xr:uid="{00000000-0006-0000-0700-00000A000000}">
      <text>
        <r>
          <rPr>
            <sz val="11"/>
            <color theme="1"/>
            <rFont val="Calibri"/>
            <family val="2"/>
            <scheme val="minor"/>
          </rPr>
          <t>ALCOHOL AND LETHALITY
Alcohol has 'massive additive
effect' on lethality.
Alcohol already killing organisms
before heat even matters.
&gt;12% ABV:
  ~5 PU is effective.
  65°C/1min or 72°C/7sec.
13% ABV:
  Hiochi killed at 70°C/30sec.
&lt;12% ABV:
  Higher PU needed.
  Consider 2x pasteurization.
Note: Low pH (&lt;4.1) also helps.
Mizumoto, some yamahai have
lower pH = more hostile to bugs.
Source: BrewSake.org</t>
        </r>
      </text>
    </comment>
    <comment ref="A8" authorId="0" shapeId="0" xr:uid="{00000000-0006-0000-0700-00000B000000}">
      <text>
        <r>
          <rPr>
            <sz val="11"/>
            <color theme="1"/>
            <rFont val="Calibri"/>
            <family val="2"/>
            <scheme val="minor"/>
          </rPr>
          <t>How many times will you pasteurize?
Japanese term: 火入れ (hi-ire)
This determines storage requirements
and final product stability.</t>
        </r>
      </text>
    </comment>
    <comment ref="B8" authorId="0" shapeId="0" xr:uid="{00000000-0006-0000-0700-00000C000000}">
      <text>
        <r>
          <rPr>
            <sz val="11"/>
            <color theme="1"/>
            <rFont val="Calibri"/>
            <family val="2"/>
            <scheme val="minor"/>
          </rPr>
          <t>PASTEURIZATION STRATEGIES:
Twice pasteurized (二回火入れ/nikai hi-ire):
  First: After pressing, before storage.
  Second: Before bottling.
  Most stable. Room temp storage OK.
  Can warm-age like Tamagawa style.
Once before storage (生詰め/namazume):
  Pasteurize → Store → Bottle RAW.
  Hiyaoroshi (ひやおろし) style.
  Fresh character at bottling.
  Needs cold chain for shipping.
Once before bottling (生貯蔵/namachozo):
  Store RAW → Pasteurize → Bottle.
  Develops during raw storage.
  Needs cold storage before bottling.
Unpasteurized (生酒/namazake):
  No heat treatment ever.
  Fresh, vibrant character.
  REQUIRES full cold chain.
  Ship/sell within weeks.</t>
        </r>
      </text>
    </comment>
    <comment ref="A9" authorId="0" shapeId="0" xr:uid="{00000000-0006-0000-0700-00000D000000}">
      <text>
        <r>
          <rPr>
            <sz val="11"/>
            <color theme="1"/>
            <rFont val="Calibri"/>
            <family val="2"/>
            <scheme val="minor"/>
          </rPr>
          <t>How will you cool after heating?
Cooling speed matters! Slow cooling
continues pasteurizing and can damage
flavor (hi-dare/火垂れ).</t>
        </r>
      </text>
    </comment>
    <comment ref="B9" authorId="0" shapeId="0" xr:uid="{00000000-0006-0000-0700-00000E000000}">
      <text>
        <r>
          <rPr>
            <sz val="11"/>
            <color theme="1"/>
            <rFont val="Calibri"/>
            <family val="2"/>
            <scheme val="minor"/>
          </rPr>
          <t>COOLING METHODS:
Ice bath (急冷/kyuurei):
  Fastest cooling. Best for flavor.
  Minimizes over-pasteurization.
  Target: &lt;30°C within 15-20 min.
Cold water:
  Good option. 30-60 minutes.
  Running cold water or water bath.
Air cooling:
  ⚠ SLOW! 2+ hours.
  Adds significant extra PU.
  Risk of over-pasteurization.
  May cause 'cooked' flavors.
Plate heat exchanger:
  For bulk methods. Instant cooling.
  Sake exits at target temp.
Sato (1977) showed rapid cooling
preserves volatile aromatics.</t>
        </r>
      </text>
    </comment>
    <comment ref="A10" authorId="0" shapeId="0" xr:uid="{00000000-0006-0000-0700-00000F000000}">
      <text>
        <r>
          <rPr>
            <sz val="11"/>
            <color theme="1"/>
            <rFont val="Calibri"/>
            <family val="2"/>
            <scheme val="minor"/>
          </rPr>
          <t>How long until consumption?
This affects storage recommendations.
Longer storage needs more stability.</t>
        </r>
      </text>
    </comment>
    <comment ref="B10" authorId="0" shapeId="0" xr:uid="{00000000-0006-0000-0700-000010000000}">
      <text>
        <r>
          <rPr>
            <sz val="11"/>
            <color theme="1"/>
            <rFont val="Calibri"/>
            <family val="2"/>
            <scheme val="minor"/>
          </rPr>
          <t>STORAGE DURATION:
Ship immediately:
  Minimal warehousing.
  Most styles OK.
Store 1-3 months:
  Short-term. Standard retail.
  Cool storage recommended.
Store 6+ months:
  Medium-term aging.
  Needs good stability.
Age 1+ years (熟成/jukusei):
  Intentional aging for development.
  Twice-pasteurized recommended.
  Higher ABV (17%+) ages best.
Long-term aging (古酒/koshu):
  Multi-year aging.
  Develops amber color, complex flavors.
  Needs 17%+ ABV and stable conditions.
  Can age at warm temps with 2x hi-ire.</t>
        </r>
      </text>
    </comment>
    <comment ref="A11" authorId="0" shapeId="0" xr:uid="{00000000-0006-0000-0700-000011000000}">
      <text>
        <r>
          <rPr>
            <sz val="11"/>
            <color theme="1"/>
            <rFont val="Calibri"/>
            <family val="2"/>
            <scheme val="minor"/>
          </rPr>
          <t>At what temperature will you store?
Storage temperature depends on:
• Pasteurization level
• ABV
• Duration
The calculator will recommend options.</t>
        </r>
      </text>
    </comment>
    <comment ref="B11" authorId="0" shapeId="0" xr:uid="{00000000-0006-0000-0700-000012000000}">
      <text>
        <r>
          <rPr>
            <sz val="11"/>
            <color theme="1"/>
            <rFont val="Calibri"/>
            <family val="2"/>
            <scheme val="minor"/>
          </rPr>
          <t>STORAGE TEMPERATURES:
Refrigerated (5°C):
  Required for nama.
  Best for delicate styles.
Cool cellar (10-15°C):
  Traditional kura storage.
  Good for most pasteurized sake.
Ambient (varies seasonally):
  Only for 2x pasteurized + high ABV.
Warm (20-25°C):
  Accelerated aging.
  ONLY for 2x pasteurized + 17%+ ABV.
Source: NRIB guidelines</t>
        </r>
      </text>
    </comment>
    <comment ref="A12" authorId="0" shapeId="0" xr:uid="{00000000-0006-0000-0700-000013000000}">
      <text>
        <r>
          <rPr>
            <sz val="11"/>
            <color theme="1"/>
            <rFont val="Calibri"/>
            <family val="2"/>
            <scheme val="minor"/>
          </rPr>
          <t>How many bottles in this batch?
Used to calculate total processing time
based on your batch capacity.</t>
        </r>
      </text>
    </comment>
    <comment ref="B12" authorId="0" shapeId="0" xr:uid="{00000000-0006-0000-0700-000014000000}">
      <text>
        <r>
          <rPr>
            <sz val="11"/>
            <color theme="1"/>
            <rFont val="Calibri"/>
            <family val="2"/>
            <scheme val="minor"/>
          </rPr>
          <t>Enter the total number of bottles
you need to pasteurize.
For bulk methods, enter liters instead.
Examples:
• 100 bottles of 720mL
• 50 bottles of 1.8L
• 200 liters in bulk tank</t>
        </r>
      </text>
    </comment>
    <comment ref="A13" authorId="0" shapeId="0" xr:uid="{00000000-0006-0000-0700-000015000000}">
      <text>
        <r>
          <rPr>
            <sz val="11"/>
            <color theme="1"/>
            <rFont val="Calibri"/>
            <family val="2"/>
            <scheme val="minor"/>
          </rPr>
          <t>How many bottles fit in one batch?
Depends on your equipment size.</t>
        </r>
      </text>
    </comment>
    <comment ref="B13" authorId="0" shapeId="0" xr:uid="{00000000-0006-0000-0700-000016000000}">
      <text>
        <r>
          <rPr>
            <sz val="11"/>
            <color theme="1"/>
            <rFont val="Calibri"/>
            <family val="2"/>
            <scheme val="minor"/>
          </rPr>
          <t>Enter your batch capacity.
Water bath: How many bottles fit?
Sous vide: Container capacity
Plate HX: Liters per hour
Tunnel: Bottles per hour
Examples:
• Small pot: 6-12 bottles
• Large tub: 20-40 bottles
• Plate HX: 500-2000 L/hr</t>
        </r>
      </text>
    </comment>
    <comment ref="A14" authorId="0" shapeId="0" xr:uid="{00000000-0006-0000-0700-000017000000}">
      <text>
        <r>
          <rPr>
            <sz val="11"/>
            <color theme="1"/>
            <rFont val="Calibri"/>
            <family val="2"/>
            <scheme val="minor"/>
          </rPr>
          <t>Temperature of sake before heating.
Affects heat-up time calculation.</t>
        </r>
      </text>
    </comment>
    <comment ref="B14" authorId="0" shapeId="0" xr:uid="{00000000-0006-0000-0700-000018000000}">
      <text>
        <r>
          <rPr>
            <sz val="11"/>
            <color theme="1"/>
            <rFont val="Calibri"/>
            <family val="2"/>
            <scheme val="minor"/>
          </rPr>
          <t>Enter the starting temperature.
Room temperature: ~20°C
From cold storage: ~5°C
Just pressed: ~15°C
Colder start = longer heat-up time.</t>
        </r>
      </text>
    </comment>
    <comment ref="A16" authorId="0" shapeId="0" xr:uid="{00000000-0006-0000-0700-000019000000}">
      <text>
        <r>
          <rPr>
            <sz val="11"/>
            <color theme="1"/>
            <rFont val="Calibri"/>
            <family val="2"/>
            <scheme val="minor"/>
          </rPr>
          <t>Your step-by-step pasteurization process.
These are calculated from your inputs above.
Follow these steps in order.</t>
        </r>
      </text>
    </comment>
    <comment ref="A17" authorId="0" shapeId="0" xr:uid="{00000000-0006-0000-0700-00001A000000}">
      <text>
        <r>
          <rPr>
            <sz val="11"/>
            <color theme="1"/>
            <rFont val="Calibri"/>
            <family val="2"/>
            <scheme val="minor"/>
          </rPr>
          <t>Target CORE temperature.
This is the temperature the sake itself
must reach, not the bath temperature.
Your water bath should be 5-10°C
HIGHER than this target to drive heat
into the bottles effectively.</t>
        </r>
      </text>
    </comment>
    <comment ref="B17" authorId="0" shapeId="0" xr:uid="{00000000-0006-0000-0700-00001B000000}">
      <text>
        <r>
          <rPr>
            <sz val="11"/>
            <color theme="1"/>
            <rFont val="Calibri"/>
            <family val="2"/>
            <scheme val="minor"/>
          </rPr>
          <t>CORE TEMPERATURE TARGET
Industry standard: 60-65°C
Competition sake: 62-65°C
Higher temps damage flavor.
Stability comes from:
  • Twice-pasteurizing
  • Cold chain shipping
  • Higher ABV
Bath should be 5-10°C above target.
Verify core temp with probe.
Source: BrewSake.org</t>
        </r>
      </text>
    </comment>
    <comment ref="A18" authorId="0" shapeId="0" xr:uid="{00000000-0006-0000-0700-00001C000000}">
      <text>
        <r>
          <rPr>
            <sz val="11"/>
            <color theme="1"/>
            <rFont val="Calibri"/>
            <family val="2"/>
            <scheme val="minor"/>
          </rPr>
          <t>How long to maintain temperature.
Start timing when CORE temp is reached,
not when bath reaches temperature.</t>
        </r>
      </text>
    </comment>
    <comment ref="B18" authorId="0" shapeId="0" xr:uid="{00000000-0006-0000-0700-00001D000000}">
      <text>
        <r>
          <rPr>
            <sz val="11"/>
            <color theme="1"/>
            <rFont val="Calibri"/>
            <family val="2"/>
            <scheme val="minor"/>
          </rPr>
          <t>HOLD TIME
Industry practice varies:
Flash pasteurization:
  65°C for 1-2 seconds.
  Preserves maximum freshness.
Competition sake:
  62-65°C, immediate cooling.
Standard production:
  65°C for 30 seconds to minutes.
Traditional jakan:
  60-65°C, longer exposure.
Source: BrewSake.org</t>
        </r>
      </text>
    </comment>
    <comment ref="A19" authorId="0" shapeId="0" xr:uid="{00000000-0006-0000-0700-00001E000000}">
      <text>
        <r>
          <rPr>
            <sz val="11"/>
            <color theme="1"/>
            <rFont val="Calibri"/>
            <family val="2"/>
            <scheme val="minor"/>
          </rPr>
          <t>Cooling instructions.
Rapid cooling preserves flavor and
prevents over-pasteurization.</t>
        </r>
      </text>
    </comment>
    <comment ref="B19" authorId="0" shapeId="0" xr:uid="{00000000-0006-0000-0700-00001F000000}">
      <text>
        <r>
          <rPr>
            <sz val="11"/>
            <color theme="1"/>
            <rFont val="Calibri"/>
            <family val="2"/>
            <scheme val="minor"/>
          </rPr>
          <t>COOLING TARGET: Below 30°C
Why rapid cooling matters:
1. Stops pasteurization
   PU accumulates until cool.
2. Preserves aromatics
   Sato (1977) showed volatiles
   preserved with rapid cooling.
3. Prevents hi-dare (火垂れ)
   Heat damage causes mureka.
Ice bath: 15-20 min to cool.
Air cooling: 2+ hours (avoid).
Source: Sato 1977, JBSJ</t>
        </r>
      </text>
    </comment>
    <comment ref="A20" authorId="0" shapeId="0" xr:uid="{00000000-0006-0000-0700-000020000000}">
      <text>
        <r>
          <rPr>
            <sz val="11"/>
            <color theme="1"/>
            <rFont val="Calibri"/>
            <family val="2"/>
            <scheme val="minor"/>
          </rPr>
          <t>How many batches to process all bottles.</t>
        </r>
      </text>
    </comment>
    <comment ref="B20" authorId="0" shapeId="0" xr:uid="{00000000-0006-0000-0700-000021000000}">
      <text>
        <r>
          <rPr>
            <sz val="11"/>
            <color theme="1"/>
            <rFont val="Calibri"/>
            <family val="2"/>
            <scheme val="minor"/>
          </rPr>
          <t>BATCHES NEEDED
Total bottles ÷ bottles per batch
(rounded up)
Plan your day accordingly!
Each batch needs monitoring.</t>
        </r>
      </text>
    </comment>
    <comment ref="A21" authorId="0" shapeId="0" xr:uid="{00000000-0006-0000-0700-000022000000}">
      <text>
        <r>
          <rPr>
            <sz val="11"/>
            <color theme="1"/>
            <rFont val="Calibri"/>
            <family val="2"/>
            <scheme val="minor"/>
          </rPr>
          <t>Estimated time for one complete cycle.
Includes: heat-up + hold + cool-down</t>
        </r>
      </text>
    </comment>
    <comment ref="B21" authorId="0" shapeId="0" xr:uid="{00000000-0006-0000-0700-000023000000}">
      <text>
        <r>
          <rPr>
            <sz val="11"/>
            <color theme="1"/>
            <rFont val="Calibri"/>
            <family val="2"/>
            <scheme val="minor"/>
          </rPr>
          <t>CYCLE TIME (heat+hold+cool)
720mL bottles: ~45 min
  Heat-up: 10-15 min
  Hold: 1-5 min
  Cool-down: 15-20 min
1.8L bottles: ~70 min
  Heat-up: 20-25 min
  Hold: 1-5 min
  Cool-down: 25-30 min
Times assume ice bath cooling.
Air cooling adds 60+ minutes!
If doing 2x pasteurization:
Multiply total time by 2.</t>
        </r>
      </text>
    </comment>
    <comment ref="A22" authorId="0" shapeId="0" xr:uid="{00000000-0006-0000-0700-000024000000}">
      <text>
        <r>
          <rPr>
            <sz val="11"/>
            <color theme="1"/>
            <rFont val="Calibri"/>
            <family val="2"/>
            <scheme val="minor"/>
          </rPr>
          <t>Total processing time for all batches.
Plan your brew day!</t>
        </r>
      </text>
    </comment>
    <comment ref="B22" authorId="0" shapeId="0" xr:uid="{00000000-0006-0000-0700-000025000000}">
      <text>
        <r>
          <rPr>
            <sz val="11"/>
            <color theme="1"/>
            <rFont val="Calibri"/>
            <family val="2"/>
            <scheme val="minor"/>
          </rPr>
          <t>TOTAL PROCESSING TIME
This is time for ONE pasteurization
session (all batches).
If doing 2x hi-ire:
  You'll do this process TWICE:
  • Once before storage
  • Once before bottling
These are separate sessions,
possibly weeks/months apart.
PU is cumulative within each
session (come-up + hold + cool),
but not across sessions.</t>
        </r>
      </text>
    </comment>
    <comment ref="A24" authorId="0" shapeId="0" xr:uid="{00000000-0006-0000-0700-000026000000}">
      <text>
        <r>
          <rPr>
            <sz val="11"/>
            <color theme="1"/>
            <rFont val="Calibri"/>
            <family val="2"/>
            <scheme val="minor"/>
          </rPr>
          <t>Recommendations for after pasteurization.
Based on your pasteurization level,
ABV, and storage intentions.</t>
        </r>
      </text>
    </comment>
    <comment ref="A25" authorId="0" shapeId="0" xr:uid="{00000000-0006-0000-0700-000027000000}">
      <text>
        <r>
          <rPr>
            <sz val="11"/>
            <color theme="1"/>
            <rFont val="Calibri"/>
            <family val="2"/>
            <scheme val="minor"/>
          </rPr>
          <t>Recommended storage temperature.</t>
        </r>
      </text>
    </comment>
    <comment ref="B25" authorId="0" shapeId="0" xr:uid="{00000000-0006-0000-0700-000028000000}">
      <text>
        <r>
          <rPr>
            <sz val="11"/>
            <color theme="1"/>
            <rFont val="Calibri"/>
            <family val="2"/>
            <scheme val="minor"/>
          </rPr>
          <t>STORAGE TEMPERATURE LOGIC
Unpasteurized (nama):
  Always refrigerated.
Twice pasteurized + 15%+ ABV:
  Very stable. Room temp OK.
  Can warm-age for koshu.
Twice pasteurized + &lt;15% ABV:
  Cool storage (10-15°C).
Single pasteurization + 15%+ ABV:
  Cool storage recommended.
Single pasteurization + &lt;15% ABV:
  Refrigerate. Ship quickly.
Source: NRIB, BrewSake.org</t>
        </r>
      </text>
    </comment>
    <comment ref="A26" authorId="0" shapeId="0" xr:uid="{00000000-0006-0000-0700-000029000000}">
      <text>
        <r>
          <rPr>
            <sz val="11"/>
            <color theme="1"/>
            <rFont val="Calibri"/>
            <family val="2"/>
            <scheme val="minor"/>
          </rPr>
          <t>How long can you safely store?</t>
        </r>
      </text>
    </comment>
    <comment ref="B26" authorId="0" shapeId="0" xr:uid="{00000000-0006-0000-0700-00002A000000}">
      <text>
        <r>
          <rPr>
            <sz val="11"/>
            <color theme="1"/>
            <rFont val="Calibri"/>
            <family val="2"/>
            <scheme val="minor"/>
          </rPr>
          <t>STORAGE DURATION GUIDANCE
Nama (unpasteurized):
  Ship/sell within 2-4 weeks.
  Refrigerated the entire time.
Single pasteurization:
  6-12 months typical maximum.
  Depends on ABV and storage temp.
Twice pasteurized + 15%+ ABV:
  1-3 years easily.
  Many improve with age.
Koshu (long-term aging):
  5, 10, 20+ years possible.
  Needs 17%+ ABV.
  Develops amber color, rich umami.</t>
        </r>
      </text>
    </comment>
    <comment ref="A27" authorId="0" shapeId="0" xr:uid="{00000000-0006-0000-0700-00002B000000}">
      <text>
        <r>
          <rPr>
            <sz val="11"/>
            <color theme="1"/>
            <rFont val="Calibri"/>
            <family val="2"/>
            <scheme val="minor"/>
          </rPr>
          <t>Overall stability assessment.</t>
        </r>
      </text>
    </comment>
    <comment ref="B27" authorId="0" shapeId="0" xr:uid="{00000000-0006-0000-0700-00002C000000}">
      <text>
        <r>
          <rPr>
            <sz val="11"/>
            <color theme="1"/>
            <rFont val="Calibri"/>
            <family val="2"/>
            <scheme val="minor"/>
          </rPr>
          <t>STABILITY ASSESSMENT
HIGH:
  Twice pasteurized + full kill + 15%+
  Can store at room temperature.
  Suitable for warm aging.
GOOD:
  Twice pasteurized + 15%+ ABV.
  Cool storage recommended but
  tolerates some temperature variation.
MODERATE:
  Single pasteurization or lower ABV.
  Keep cool. Limited aging.
LOW:
  Nama or low ABV + single pass.
  Refrigerate always. Ship fast.</t>
        </r>
      </text>
    </comment>
    <comment ref="A29" authorId="0" shapeId="0" xr:uid="{00000000-0006-0000-0700-00002D000000}">
      <text>
        <r>
          <rPr>
            <sz val="11"/>
            <color theme="1"/>
            <rFont val="Calibri"/>
            <family val="2"/>
            <scheme val="minor"/>
          </rPr>
          <t>What organisms are killed by your
selected pasteurization goal?</t>
        </r>
      </text>
    </comment>
    <comment ref="A30" authorId="0" shapeId="0" xr:uid="{00000000-0006-0000-0700-00002E000000}">
      <text>
        <r>
          <rPr>
            <sz val="11"/>
            <color theme="1"/>
            <rFont val="Calibri"/>
            <family val="2"/>
            <scheme val="minor"/>
          </rPr>
          <t>Saccharomyces cerevisiae - brewing yeast.
Killed at 60°C / 30 seconds.
Easiest to kill.</t>
        </r>
      </text>
    </comment>
    <comment ref="B30" authorId="0" shapeId="0" xr:uid="{00000000-0006-0000-0700-00002F000000}">
      <text>
        <r>
          <rPr>
            <sz val="11"/>
            <color theme="1"/>
            <rFont val="Calibri"/>
            <family val="2"/>
            <scheme val="minor"/>
          </rPr>
          <t>Yeast dies at 60°C / 30 seconds.
All pasteurization goals achieve this.
Once killed, fermentation stops.
No more CO2 or alcohol production.</t>
        </r>
      </text>
    </comment>
    <comment ref="A31" authorId="0" shapeId="0" xr:uid="{00000000-0006-0000-0700-000030000000}">
      <text>
        <r>
          <rPr>
            <sz val="11"/>
            <color theme="1"/>
            <rFont val="Calibri"/>
            <family val="2"/>
            <scheme val="minor"/>
          </rPr>
          <t>Amylase and other active enzymes.
Killed (denatured) at 65°C / 30 seconds.</t>
        </r>
      </text>
    </comment>
    <comment ref="B31" authorId="0" shapeId="0" xr:uid="{00000000-0006-0000-0700-000031000000}">
      <text>
        <r>
          <rPr>
            <sz val="11"/>
            <color theme="1"/>
            <rFont val="Calibri"/>
            <family val="2"/>
            <scheme val="minor"/>
          </rPr>
          <t>ENZYME STATUS
'Kill yeast only' (60°C):
  Enzymes remain ACTIVE.
  Flavor may continue evolving.
  Can develop complexity.
  Less predictable aging.
All other goals (65°C+):
  Enzymes denatured (dead).
  Flavor profile locked in.
  More predictable aging.</t>
        </r>
      </text>
    </comment>
    <comment ref="A32" authorId="0" shapeId="0" xr:uid="{00000000-0006-0000-0700-000032000000}">
      <text>
        <r>
          <rPr>
            <sz val="11"/>
            <color theme="1"/>
            <rFont val="Calibri"/>
            <family val="2"/>
            <scheme val="minor"/>
          </rPr>
          <t>Lactobacillus strains that cause spoilage.
Hiochi-kin (火落ち菌) means 'fire-falling bacteria'
because contaminated sake 'falls' or spoils.</t>
        </r>
      </text>
    </comment>
    <comment ref="B32" authorId="0" shapeId="0" xr:uid="{00000000-0006-0000-0700-000033000000}">
      <text>
        <r>
          <rPr>
            <sz val="11"/>
            <color theme="1"/>
            <rFont val="Calibri"/>
            <family val="2"/>
            <scheme val="minor"/>
          </rPr>
          <t>HIOCHI BACTERIA STATUS
Hiochi-kin (火落ち菌) are lactobacillus
strains that cause sake spoilage.
Full pasteurization (70°C):
  Definitely killed.
65°C + 15%+ ABV:
  Likely killed. High alcohol helps.
65°C + &lt;15% ABV:
  Risk of survival.
  Hirai (1962) found lower ABV sake
  needs higher temps for hiochi kill.
60°C (yeast only):
  Hiochi may survive!
  Only use if ABV is 17%+ or you're
  consuming immediately.</t>
        </r>
      </text>
    </comment>
    <comment ref="A34" authorId="0" shapeId="0" xr:uid="{00000000-0006-0000-0700-000034000000}">
      <text>
        <r>
          <rPr>
            <sz val="11"/>
            <color theme="1"/>
            <rFont val="Calibri"/>
            <family val="2"/>
            <scheme val="minor"/>
          </rPr>
          <t>Important alerts based on your selections.
Pay attention to these!</t>
        </r>
      </text>
    </comment>
    <comment ref="A43" authorId="0" shapeId="0" xr:uid="{00000000-0006-0000-0700-000035000000}">
      <text>
        <r>
          <rPr>
            <sz val="11"/>
            <color theme="1"/>
            <rFont val="Calibri"/>
            <family val="2"/>
            <scheme val="minor"/>
          </rPr>
          <t>Pasteurization Units (PU)
PU = t × 10^((T-60)/Z)
Where:
  t = time in minutes
  T = temperature in °C
  Z = 6.94°C (thermal resistance)
Reference point:
  1 PU = 1 minute at 60°C
Every ~6.94°C below 60°C
= 10× less PU per minute.
Source: BrewSake.org</t>
        </r>
      </text>
    </comment>
    <comment ref="A47" authorId="0" shapeId="0" xr:uid="{00000000-0006-0000-0700-000036000000}">
      <text>
        <r>
          <rPr>
            <sz val="11"/>
            <color theme="1"/>
            <rFont val="Calibri"/>
            <family val="2"/>
            <scheme val="minor"/>
          </rPr>
          <t>These all equal 1 PU:
28 min at 50°C = 1 PU
5 min at 55°C = 1 PU
1 min at 60°C = 1 PU
Higher temps = exponentially more PU:
5 min at 60°C = 5 PU
5 min at 65°C = 26.3 PU
Source: BrewSake.org</t>
        </r>
      </text>
    </comment>
    <comment ref="A56" authorId="0" shapeId="0" xr:uid="{00000000-0006-0000-0700-000037000000}">
      <text>
        <r>
          <rPr>
            <sz val="11"/>
            <color theme="1"/>
            <rFont val="Calibri"/>
            <family val="2"/>
            <scheme val="minor"/>
          </rPr>
          <t>PU TARGET GUIDANCE
~5 PU minimum:
  Effective for sake &gt;12% ABV.
  65°C for 1 min OR 72°C for 7 sec.
~14 PU:
  Hiochi kill at 13% ABV.
  70°C for 30 sec.
105 PU (traditional 65°C/20min):
  Massive overkill.
  Higher than milk pasteurization!
  Still common at traditional breweries.
Source: BrewSake.org, Hirai 1962</t>
        </r>
      </text>
    </comment>
    <comment ref="A61" authorId="0" shapeId="0" xr:uid="{00000000-0006-0000-0700-000038000000}">
      <text>
        <r>
          <rPr>
            <sz val="11"/>
            <color theme="1"/>
            <rFont val="Calibri"/>
            <family val="2"/>
            <scheme val="minor"/>
          </rPr>
          <t>MODIFIERS TO LETHALITY
Alcohol:
  'Massive additive effect'
  Alcohol already killing organisms
  before heat even matters.
  Higher ABV = easier kill.
pH:
  Below pH 4.1 = much less
  survivable for pathogens.
  Less heat/time needed.
Osmotic stress (high sugar/salt):
  Can cause cell death.
  Yeast SO2 = stress response.
Source: BrewSake.org</t>
        </r>
      </text>
    </comment>
    <comment ref="A65" authorId="0" shapeId="0" xr:uid="{00000000-0006-0000-0700-000039000000}">
      <text>
        <r>
          <rPr>
            <sz val="11"/>
            <color theme="1"/>
            <rFont val="Calibri"/>
            <family val="2"/>
            <scheme val="minor"/>
          </rPr>
          <t>pH AND LETHALITY
pH &lt;4.1 creates 'much less
survivable environment for
pathogens' - BrewSake.org
Lower pH disrupts cell walls,
preventing core functions.
Sake with low pH:
  • Mizumoto (lactic starter)
  • Some yamahai/kimoto
  • High acid styles
Typical sake: pH 4.0-4.5
Most sake is borderline, so
ABV is usually bigger factor.
Source: BrewSake.org</t>
        </r>
      </text>
    </comment>
    <comment ref="A66" authorId="0" shapeId="0" xr:uid="{00000000-0006-0000-0700-00003A000000}">
      <text>
        <r>
          <rPr>
            <sz val="11"/>
            <color theme="1"/>
            <rFont val="Calibri"/>
            <family val="2"/>
            <scheme val="minor"/>
          </rPr>
          <t>Research by Hirai et al.
JBSJ Vol. 57, No. 9, 1962
Hiochi bacteria killed at:
70°C for 30 seconds
Tested at 13% ABV
Note: Alcohol does significant
work in that result. Higher ABV
= even easier kill.
Source: BrewSake.org citing Hirai</t>
        </r>
      </text>
    </comment>
    <comment ref="A72" authorId="0" shapeId="0" xr:uid="{00000000-0006-0000-0700-00003B000000}">
      <text>
        <r>
          <rPr>
            <sz val="11"/>
            <color theme="1"/>
            <rFont val="Calibri"/>
            <family val="2"/>
            <scheme val="minor"/>
          </rPr>
          <t>LTLT = Low Temp, Long Time
  Traditional method.
  65°C for 20 minutes.
  105 PU (overkill).
  Common for in-bottle.
HTST = High Temp, Short Time
  Modern method.
  72°C for 15 seconds.
  ~14 PU.
  Requires plate heat exchanger.
  High flow rates possible.
Both achieve stability.
HTST preserves more freshness.
Source: BrewSake.org</t>
        </r>
      </text>
    </comment>
    <comment ref="A76" authorId="0" shapeId="0" xr:uid="{00000000-0006-0000-0700-00003C000000}">
      <text>
        <r>
          <rPr>
            <sz val="11"/>
            <color theme="1"/>
            <rFont val="Calibri"/>
            <family val="2"/>
            <scheme val="minor"/>
          </rPr>
          <t>CLOUDY SAKE NEEDS MORE TIME
Rice solids have higher heat
capacity than liquid.
Problems:
  • Cold spots from poor mixing
  • Solids absorb heat from liquid
  • System takes longer to equalize
Solution:
  • Extend hold time
  • Ensure good circulation
  • Monitor core temp carefully
Source: BrewSake.org</t>
        </r>
      </text>
    </comment>
    <comment ref="A80" authorId="0" shapeId="0" xr:uid="{00000000-0006-0000-0700-00003D000000}">
      <text>
        <r>
          <rPr>
            <sz val="11"/>
            <color theme="1"/>
            <rFont val="Calibri"/>
            <family val="2"/>
            <scheme val="minor"/>
          </rPr>
          <t>SPORES ARE RESILIENT
Spores are far more heat-resistant
than mature organisms.
Risk: If you didn't achieve
sufficient lethality, your sake
could be a 'time-bomb' that
comes back to life on a room
temp shelf 6 months later.
Prevention:
  • Achieve target PU
  • 2x pasteurization for stability
  • Cold chain if uncertain
Source: BrewSake.org</t>
        </r>
      </text>
    </comment>
    <comment ref="A84" authorId="0" shapeId="0" xr:uid="{00000000-0006-0000-0700-00003E000000}">
      <text>
        <r>
          <rPr>
            <sz val="11"/>
            <color theme="1"/>
            <rFont val="Calibri"/>
            <family val="2"/>
            <scheme val="minor"/>
          </rPr>
          <t>PASTEURIZATION EFFECTS
AROMA:
Increases:
  • Aldehyde
  • Wood, spices
  • Caramel-like (honey, dried fruit)
  • Sulfide-like (polysulfide)
Decreases:
  • Ginjo scent
  • Fruit-like
  • Esters
  • Alcohol (ethanol)
FLAVOR:
Increases:
  • Bitter taste
  • Smooth/pungent
Decreases:
  • Astringency
  • Coarseness/roughness
Source: BrewSake.org</t>
        </r>
      </text>
    </comment>
    <comment ref="A89" authorId="0" shapeId="0" xr:uid="{00000000-0006-0000-0700-00003F000000}">
      <text>
        <r>
          <rPr>
            <sz val="11"/>
            <color theme="1"/>
            <rFont val="Calibri"/>
            <family val="2"/>
            <scheme val="minor"/>
          </rPr>
          <t>PROCESS AUTHORITY LETTER
If you work with co-packers or
enter commercial production,
you may need a Process Authority
Letter from a lab.
The lab will:
  • Review your formulation
  • Review production process
  • Legally attest to safety
  • Provide time/temp specs
Not required for distributors,
but eventually someone will ask.
Source: BrewSake.org</t>
        </r>
      </text>
    </comment>
    <comment ref="A93" authorId="0" shapeId="0" xr:uid="{00000000-0006-0000-0700-000040000000}">
      <text>
        <r>
          <rPr>
            <sz val="11"/>
            <color theme="1"/>
            <rFont val="Calibri"/>
            <family val="2"/>
            <scheme val="minor"/>
          </rPr>
          <t>BrewSake.org
Primary source for this calculator.
Comprehensive pasteurization guide.
www.brewsake.org/pasteurization</t>
        </r>
      </text>
    </comment>
    <comment ref="A94" authorId="0" shapeId="0" xr:uid="{00000000-0006-0000-0700-000041000000}">
      <text>
        <r>
          <rPr>
            <sz val="11"/>
            <color theme="1"/>
            <rFont val="Calibri"/>
            <family val="2"/>
            <scheme val="minor"/>
          </rPr>
          <t>Hirai, K., et al.
Studies on Hi-ire of Sake
JBSJ Vol. 57, No. 9, pp. 840-842
Hiochi kill: 70°C/30s at 13% ABV</t>
        </r>
      </text>
    </comment>
    <comment ref="A95" authorId="0" shapeId="0" xr:uid="{00000000-0006-0000-0700-000042000000}">
      <text>
        <r>
          <rPr>
            <sz val="11"/>
            <color theme="1"/>
            <rFont val="Calibri"/>
            <family val="2"/>
            <scheme val="minor"/>
          </rPr>
          <t>Tamonin Nikki (Diary of Tamonin)
1570 - 300 years before Pasteur
Describes heating sake to 63-65°C
to kill bacteria and inactivate
enzymes.
Reference: 変わり行く日本酒
JBSJ archive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A5" authorId="0" shapeId="0" xr:uid="{00000000-0006-0000-0900-000001000000}">
      <text>
        <r>
          <rPr>
            <sz val="11"/>
            <color theme="1"/>
            <rFont val="Calibri"/>
            <family val="2"/>
            <scheme val="minor"/>
          </rPr>
          <t>Mash mass = steamed kakemai (×1.30) + finished koji (×1.16 dekoji) + water. Accounts for weight gain during steaming and koji incubation.</t>
        </r>
      </text>
    </comment>
    <comment ref="A7" authorId="0" shapeId="0" xr:uid="{00000000-0006-0000-0900-000002000000}">
      <text>
        <r>
          <rPr>
            <sz val="11"/>
            <color theme="1"/>
            <rFont val="Calibri"/>
            <family val="2"/>
            <scheme val="minor"/>
          </rPr>
          <t>NRIB formula: polished_rice_kg × 1.80 L/kg × press_efficiency</t>
        </r>
      </text>
    </comment>
    <comment ref="A8" authorId="0" shapeId="0" xr:uid="{00000000-0006-0000-0900-000003000000}">
      <text>
        <r>
          <rPr>
            <sz val="11"/>
            <color theme="1"/>
            <rFont val="Calibri"/>
            <family val="2"/>
            <scheme val="minor"/>
          </rPr>
          <t>Genshu diluted from 18.2% to 15% ABV</t>
        </r>
      </text>
    </comment>
    <comment ref="B33" authorId="0" shapeId="0" xr:uid="{00000000-0006-0000-0900-000004000000}">
      <text>
        <r>
          <rPr>
            <sz val="11"/>
            <color theme="1"/>
            <rFont val="Calibri"/>
            <family val="2"/>
            <scheme val="minor"/>
          </rPr>
          <t>Amino acidity factor based on seimaibuai.
From Iemura 1996: amino acidity peaks at ~70-75%.
At 90%: 0.6 (high yeast uptake reduces amino)
At 70%: 1.0 (peak amino release)
At 50%: 0.75 (less protein available)
At 35%: 0.6 (very low protein core)</t>
        </r>
      </text>
    </comment>
    <comment ref="B34" authorId="0" shapeId="0" xr:uid="{00000000-0006-0000-0900-000005000000}">
      <text>
        <r>
          <rPr>
            <sz val="11"/>
            <color theme="1"/>
            <rFont val="Calibri"/>
            <family val="2"/>
            <scheme val="minor"/>
          </rPr>
          <t>Relative amino acid tendency (0-5 scale).
Higher = expect more amino acids in final sake.
&lt;1.5: Very low (daiginjo character)
1.5-2.0: Low (ginjo character)
2.0-2.5: Medium (junmai character)
2.5-3.0: High (robust junmai)
&gt;3.0: Very high (risk of zatsumi)</t>
        </r>
      </text>
    </comment>
    <comment ref="B38" authorId="0" shapeId="0" xr:uid="{00000000-0006-0000-0900-000006000000}">
      <text>
        <r>
          <rPr>
            <sz val="11"/>
            <color theme="1"/>
            <rFont val="Calibri"/>
            <family val="2"/>
            <scheme val="minor"/>
          </rPr>
          <t>Fermentation vigor multiplier based on seimaibuai.
Low polish = more minerals = faster yeast growth.
90%+: 1.5x (vigorous, fast ferment)
70%: 1.0x (standard)
50%: 0.7x (slow, extended ferment)</t>
        </r>
      </text>
    </comment>
    <comment ref="G53" authorId="0" shapeId="0" xr:uid="{00000000-0006-0000-0900-000007000000}">
      <text>
        <r>
          <rPr>
            <sz val="11"/>
            <color theme="1"/>
            <rFont val="Calibri"/>
            <family val="2"/>
            <scheme val="minor"/>
          </rPr>
          <t>Total nitrogen input from rice protein.
Calculation: (Protein% / 100) × Rice(kg) × 1000 = grams of nitrogen.
Protein % varies by polish ratio:
• 90% polish: ~7.5% protein (full table rice protein)
• 80% polish: ~6.4% protein (15% reduction)
• 70% polish: ~5.3% protein (30% reduction)
• 60% polish: ~4.1% protein (45% reduction)</t>
        </r>
      </text>
    </comment>
    <comment ref="H53" authorId="0" shapeId="0" xr:uid="{00000000-0006-0000-0900-000008000000}">
      <text>
        <r>
          <rPr>
            <sz val="11"/>
            <color theme="1"/>
            <rFont val="Calibri"/>
            <family val="2"/>
            <scheme val="minor"/>
          </rPr>
          <t>Yeast nitrogen uptake factor based on Iemura (1996) research.
Key finding: Higher polish = more minerals = more yeast = more N uptake.
90% polish rice produces LOWER amino acidity despite higher protein because:
• 2.5× yeast cell count vs 70% polish
• 1.5× nitrogen absorption
Uptake factors:
• 90% polish: 67% uptake
• 80% polish: 55% uptake
• 70% polish: 45% uptake
• &lt;70% polish: 35% uptake
Koji uses 30% (enzymes, not direct yeast food).</t>
        </r>
      </text>
    </comment>
    <comment ref="I53" authorId="0" shapeId="0" xr:uid="{00000000-0006-0000-0900-000009000000}">
      <text>
        <r>
          <rPr>
            <sz val="11"/>
            <color theme="1"/>
            <rFont val="Calibri"/>
            <family val="2"/>
            <scheme val="minor"/>
          </rPr>
          <t>Net nitrogen remaining in sake after yeast uptake.
Net N = N input × (1 - uptake factor)
Lower net N → Lower amino acidity → Cleaner, fruitier sake.
This is the Iemura paradox: rough rice makes cleaner sake.</t>
        </r>
      </text>
    </comment>
    <comment ref="A63" authorId="0" shapeId="0" xr:uid="{00000000-0006-0000-0900-00000A000000}">
      <text>
        <r>
          <rPr>
            <sz val="11"/>
            <color theme="1"/>
            <rFont val="Calibri"/>
            <family val="2"/>
            <scheme val="minor"/>
          </rPr>
          <t>Simplified model based on Iemura et al. (1996):
1. Total protein input from all rice (koji + kakemai)
2. ~35% of protein dissolves into liquid (constant, per Iemura Fig.10)
3. Yeast uptake % based on weighted average polish ratio
4. Residual N = Dissolved - Absorbed → predicts amino acidity
Key insight: Polish ratio affects yeast POPULATION, which affects
total N absorption, NOT the dissolution rate of protein.</t>
        </r>
      </text>
    </comment>
    <comment ref="A64" authorId="0" shapeId="0" xr:uid="{00000000-0006-0000-0900-00000B000000}">
      <text>
        <r>
          <rPr>
            <sz val="11"/>
            <color theme="1"/>
            <rFont val="Calibri"/>
            <family val="2"/>
            <scheme val="minor"/>
          </rPr>
          <t>Sum of all rice protein input from rows 54-59.</t>
        </r>
      </text>
    </comment>
    <comment ref="A65" authorId="0" shapeId="0" xr:uid="{00000000-0006-0000-0900-00000C000000}">
      <text>
        <r>
          <rPr>
            <sz val="11"/>
            <color theme="1"/>
            <rFont val="Calibri"/>
            <family val="2"/>
            <scheme val="minor"/>
          </rPr>
          <t>Rice-weighted average polish ratio.
This determines the Iemura effect magnitude:
• Higher % (90) = more minerals = more yeast = more uptake
• Lower % (70) = fewer minerals = less yeast = less uptake</t>
        </r>
      </text>
    </comment>
    <comment ref="A66" authorId="0" shapeId="0" xr:uid="{00000000-0006-0000-0900-00000D000000}">
      <text>
        <r>
          <rPr>
            <sz val="11"/>
            <color theme="1"/>
            <rFont val="Calibri"/>
            <family val="2"/>
            <scheme val="minor"/>
          </rPr>
          <t>Iemura found ~35% of rice protein dissolves into liquid mash,
REGARDLESS of polish ratio. Ethanol inhibits further dissolution.
Source: Iemura (1996) Fig.10 - dissolution rate 30-40%.</t>
        </r>
      </text>
    </comment>
    <comment ref="A67" authorId="0" shapeId="0" xr:uid="{00000000-0006-0000-0900-00000E000000}">
      <text>
        <r>
          <rPr>
            <sz val="11"/>
            <color theme="1"/>
            <rFont val="Calibri"/>
            <family val="2"/>
            <scheme val="minor"/>
          </rPr>
          <t>Yeast uptake interpolated from Iemura data:
• 90% polish: 67% of dissolved N absorbed
• 80% polish: ~56% absorbed
• 70% polish: 45% absorbed (baseline)
Formula: 0.45 + (polish - 70) × 0.011</t>
        </r>
      </text>
    </comment>
    <comment ref="A69" authorId="0" shapeId="0" xr:uid="{00000000-0006-0000-0900-00000F000000}">
      <text>
        <r>
          <rPr>
            <sz val="11"/>
            <color theme="1"/>
            <rFont val="Calibri"/>
            <family val="2"/>
            <scheme val="minor"/>
          </rPr>
          <t>Net nitrogen in sake = Dissolved - Absorbed.</t>
        </r>
      </text>
    </comment>
    <comment ref="A71" authorId="0" shapeId="0" xr:uid="{00000000-0006-0000-0900-000010000000}">
      <text>
        <r>
          <rPr>
            <sz val="11"/>
            <color theme="1"/>
            <rFont val="Calibri"/>
            <family val="2"/>
            <scheme val="minor"/>
          </rPr>
          <t>Amino acidity estimate.
Typical ranges:
• Daiginjo: 0.8-1.1
• Ginjo: 1.0-1.3
• Junmai: 1.3-1.8
• Kimoto: 1.5-2.2
NOTE: This is an ESTIMATE. Actual depends on yeast strain,
fermentation temp, koji type, and other factors.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26" authorId="0" shapeId="0" xr:uid="{00000000-0006-0000-0A00-000001000000}">
      <text>
        <r>
          <rPr>
            <sz val="11"/>
            <color theme="1"/>
            <rFont val="Calibri"/>
            <family val="2"/>
            <scheme val="minor"/>
          </rPr>
          <t>Estimated crude protein based on seimaibuai.
90%+ = ~7.5% (outer endosperm exposed)
70-90% = ~5.5%
50-70% = ~4%
&lt;50% = ~3.5% (central region only)</t>
        </r>
      </text>
    </comment>
    <comment ref="B27" authorId="0" shapeId="0" xr:uid="{00000000-0006-0000-0A00-000002000000}">
      <text>
        <r>
          <rPr>
            <sz val="11"/>
            <color theme="1"/>
            <rFont val="Calibri"/>
            <family val="2"/>
            <scheme val="minor"/>
          </rPr>
          <t>Glutelin/Total Protein ratio for variety.
Higher = more digestible protein → more amino acids in sake.
Default 0.41 (NRIB average) if variety unknown.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A4" authorId="0" shapeId="0" xr:uid="{00000000-0006-0000-0B00-000001000000}">
      <text>
        <r>
          <rPr>
            <sz val="11"/>
            <color theme="1"/>
            <rFont val="Calibri"/>
            <family val="2"/>
            <scheme val="minor"/>
          </rPr>
          <t>Official NRIB baseline: 80 steamed : 20 koji : 130 water. Standard sandan shikomi 1:0:2:3.</t>
        </r>
      </text>
    </comment>
    <comment ref="A5" authorId="0" shapeId="0" xr:uid="{00000000-0006-0000-0B00-000002000000}">
      <text>
        <r>
          <rPr>
            <sz val="11"/>
            <color theme="1"/>
            <rFont val="Calibri"/>
            <family val="2"/>
            <scheme val="minor"/>
          </rPr>
          <t>Pure rice sake, no alcohol addition. 60-70% polish typical. Fuller body, higher acidity.</t>
        </r>
      </text>
    </comment>
    <comment ref="A6" authorId="0" shapeId="0" xr:uid="{00000000-0006-0000-0B00-000003000000}">
      <text>
        <r>
          <rPr>
            <sz val="11"/>
            <color theme="1"/>
            <rFont val="Calibri"/>
            <family val="2"/>
            <scheme val="minor"/>
          </rPr>
          <t>≤60% polish. 10-15°C ferment, 4-5 weeks. Tsukihaze koji. Alcohol addition ≤10% rice wt allowed.</t>
        </r>
      </text>
    </comment>
    <comment ref="A7" authorId="0" shapeId="0" xr:uid="{00000000-0006-0000-0B00-000004000000}">
      <text>
        <r>
          <rPr>
            <sz val="11"/>
            <color theme="1"/>
            <rFont val="Calibri"/>
            <family val="2"/>
            <scheme val="minor"/>
          </rPr>
          <t>≤60% polish. Same as Ginjo but NO alcohol addition. 10-15°C ferment, 4-5 weeks.</t>
        </r>
      </text>
    </comment>
    <comment ref="A8" authorId="0" shapeId="0" xr:uid="{00000000-0006-0000-0B00-000005000000}">
      <text>
        <r>
          <rPr>
            <sz val="11"/>
            <color theme="1"/>
            <rFont val="Calibri"/>
            <family val="2"/>
            <scheme val="minor"/>
          </rPr>
          <t>≤50% polish. 8-12°C ferment, 5-6 weeks. Ultra-premium. Alcohol addition ≤10% allowed.</t>
        </r>
      </text>
    </comment>
    <comment ref="A9" authorId="0" shapeId="0" xr:uid="{00000000-0006-0000-0B00-000006000000}">
      <text>
        <r>
          <rPr>
            <sz val="11"/>
            <color theme="1"/>
            <rFont val="Calibri"/>
            <family val="2"/>
            <scheme val="minor"/>
          </rPr>
          <t>≤50% polish. Same as Daiginjo but NO alcohol addition. 8-12°C ferment, 5-6 weeks.</t>
        </r>
      </text>
    </comment>
    <comment ref="A10" authorId="0" shapeId="0" xr:uid="{00000000-0006-0000-0B00-000007000000}">
      <text>
        <r>
          <rPr>
            <sz val="11"/>
            <color theme="1"/>
            <rFont val="Calibri"/>
            <family val="2"/>
            <scheme val="minor"/>
          </rPr>
          <t>≤70% polish. Alcohol addition ≤10% rice weight. Clean, light style.</t>
        </r>
      </text>
    </comment>
    <comment ref="A11" authorId="0" shapeId="0" xr:uid="{00000000-0006-0000-0B00-000008000000}">
      <text>
        <r>
          <rPr>
            <sz val="11"/>
            <color theme="1"/>
            <rFont val="Calibri"/>
            <family val="2"/>
            <scheme val="minor"/>
          </rPr>
          <t>Verified against Lucas calculator at 200kg scale. 12 parameter errors corrected.</t>
        </r>
      </text>
    </comment>
    <comment ref="A12" authorId="0" shapeId="0" xr:uid="{00000000-0006-0000-0B00-000009000000}">
      <text>
        <r>
          <rPr>
            <sz val="11"/>
            <color theme="1"/>
            <rFont val="Calibri"/>
            <family val="2"/>
            <scheme val="minor"/>
          </rPr>
          <t>Verified against Lucas calculator. 8 parameter errors corrected.</t>
        </r>
      </text>
    </comment>
    <comment ref="A13" authorId="0" shapeId="0" xr:uid="{00000000-0006-0000-0B00-00000A000000}">
      <text>
        <r>
          <rPr>
            <sz val="11"/>
            <color theme="1"/>
            <rFont val="Calibri"/>
            <family val="2"/>
            <scheme val="minor"/>
          </rPr>
          <t>Verified against Lucas calculator. 1 parameter error corrected (water ratio).</t>
        </r>
      </text>
    </comment>
    <comment ref="A14" authorId="0" shapeId="0" xr:uid="{00000000-0006-0000-0B00-00000B000000}">
      <text>
        <r>
          <rPr>
            <sz val="11"/>
            <color theme="1"/>
            <rFont val="Calibri"/>
            <family val="2"/>
            <scheme val="minor"/>
          </rPr>
          <t>Modern method. 2 weeks moto. Commercial lactic acid added. 90% of current sake production.</t>
        </r>
      </text>
    </comment>
    <comment ref="A15" authorId="0" shapeId="0" xr:uid="{00000000-0006-0000-0B00-00000C000000}">
      <text>
        <r>
          <rPr>
            <sz val="11"/>
            <color theme="1"/>
            <rFont val="Calibri"/>
            <family val="2"/>
            <scheme val="minor"/>
          </rPr>
          <t>Traditional. 4 weeks moto. 6-8°C start. Yama-oroshi pole grinding. Natural lactic bacteria.</t>
        </r>
      </text>
    </comment>
    <comment ref="A16" authorId="0" shapeId="0" xr:uid="{00000000-0006-0000-0B00-00000D000000}">
      <text>
        <r>
          <rPr>
            <sz val="11"/>
            <color theme="1"/>
            <rFont val="Calibri"/>
            <family val="2"/>
            <scheme val="minor"/>
          </rPr>
          <t>Traditional. 4 weeks moto. No yama-oroshi. Higher temp than kimoto. Natural lactic bacteria.</t>
        </r>
      </text>
    </comment>
    <comment ref="A17" authorId="0" shapeId="0" xr:uid="{00000000-0006-0000-0B00-00000E000000}">
      <text>
        <r>
          <rPr>
            <sz val="11"/>
            <color theme="1"/>
            <rFont val="Calibri"/>
            <family val="2"/>
            <scheme val="minor"/>
          </rPr>
          <t>Cloudy sake. Standard brewing params. Coarse filtration ≥2mm mesh retains rice particles/yeast.</t>
        </r>
      </text>
    </comment>
    <comment ref="A18" authorId="0" shapeId="0" xr:uid="{00000000-0006-0000-0B00-00000F000000}">
      <text>
        <r>
          <rPr>
            <sz val="11"/>
            <color theme="1"/>
            <rFont val="Calibri"/>
            <family val="2"/>
            <scheme val="minor"/>
          </rPr>
          <t>Undiluted sake. No post-fermentation water addition. Natural ABV 17-22%. Richer flavor.</t>
        </r>
      </text>
    </comment>
    <comment ref="A19" authorId="0" shapeId="0" xr:uid="{00000000-0006-0000-0B00-000010000000}">
      <text>
        <r>
          <rPr>
            <sz val="11"/>
            <color theme="1"/>
            <rFont val="Calibri"/>
            <family val="2"/>
            <scheme val="minor"/>
          </rPr>
          <t>Unpasteurized sake. Standard brewing. Must keep refrigerated. Fresh, lively character.</t>
        </r>
      </text>
    </comment>
    <comment ref="A20" authorId="0" shapeId="0" xr:uid="{00000000-0006-0000-0B00-000011000000}">
      <text>
        <r>
          <rPr>
            <sz val="11"/>
            <color theme="1"/>
            <rFont val="Calibri"/>
            <family val="2"/>
            <scheme val="minor"/>
          </rPr>
          <t>Bubbly sake. Standard base. CO2 via injection, bottle secondary fermentation, or capture.</t>
        </r>
      </text>
    </comment>
    <comment ref="A21" authorId="0" shapeId="0" xr:uid="{00000000-0006-0000-0B00-000012000000}">
      <text>
        <r>
          <rPr>
            <sz val="11"/>
            <color theme="1"/>
            <rFont val="Calibri"/>
            <family val="2"/>
            <scheme val="minor"/>
          </rPr>
          <t>Low water ratio (1.10 L/kg). Fuller body, richer flavor, higher viscosity, more umami.</t>
        </r>
      </text>
    </comment>
    <comment ref="A22" authorId="0" shapeId="0" xr:uid="{00000000-0006-0000-0B00-000013000000}">
      <text>
        <r>
          <rPr>
            <sz val="11"/>
            <color theme="1"/>
            <rFont val="Calibri"/>
            <family val="2"/>
            <scheme val="minor"/>
          </rPr>
          <t>High water ratio (1.50 L/kg). Lighter body, cleaner flavor, slower fermentation, more delicate.</t>
        </r>
      </text>
    </comment>
    <comment ref="A23" authorId="0" shapeId="0" xr:uid="{00000000-0006-0000-0B00-000014000000}">
      <text>
        <r>
          <rPr>
            <sz val="11"/>
            <color theme="1"/>
            <rFont val="Calibri"/>
            <family val="2"/>
            <scheme val="minor"/>
          </rPr>
          <t>Single-stage addition. All ingredients at once. 20% koji. High water (1.50) for safety margin.</t>
        </r>
      </text>
    </comment>
    <comment ref="A24" authorId="0" shapeId="0" xr:uid="{00000000-0006-0000-0B00-000015000000}">
      <text>
        <r>
          <rPr>
            <sz val="11"/>
            <color theme="1"/>
            <rFont val="Calibri"/>
            <family val="2"/>
            <scheme val="minor"/>
          </rPr>
          <t>Single-stage addition. 25% koji for more flavor. Middle ground between 20% and 33%.</t>
        </r>
      </text>
    </comment>
    <comment ref="A25" authorId="0" shapeId="0" xr:uid="{00000000-0006-0000-0B00-000016000000}">
      <text>
        <r>
          <rPr>
            <sz val="11"/>
            <color theme="1"/>
            <rFont val="Calibri"/>
            <family val="2"/>
            <scheme val="minor"/>
          </rPr>
          <t>Single-stage addition. High 33% koji for rich umami. Higher water to manage sweetness.</t>
        </r>
      </text>
    </comment>
    <comment ref="A26" authorId="0" shapeId="0" xr:uid="{00000000-0006-0000-0B00-000017000000}">
      <text>
        <r>
          <rPr>
            <sz val="11"/>
            <color theme="1"/>
            <rFont val="Calibri"/>
            <family val="2"/>
            <scheme val="minor"/>
          </rPr>
          <t>Sake-brewed sake. Water 70 + Sake 60 per 100 rice. Sake substitutes ~46% of tome water. Sweet, aged.</t>
        </r>
      </text>
    </comment>
    <comment ref="A27" authorId="0" shapeId="0" xr:uid="{00000000-0006-0000-0B00-000018000000}">
      <text>
        <r>
          <rPr>
            <sz val="11"/>
            <color theme="1"/>
            <rFont val="Calibri"/>
            <family val="2"/>
            <scheme val="minor"/>
          </rPr>
          <t>5-8% ABV. Achieved via dilution, early fermentation stop, or special yeasts. Higher water ratio.</t>
        </r>
      </text>
    </comment>
    <comment ref="A28" authorId="0" shapeId="0" xr:uid="{00000000-0006-0000-0B00-000019000000}">
      <text>
        <r>
          <rPr>
            <sz val="11"/>
            <color theme="1"/>
            <rFont val="Calibri"/>
            <family val="2"/>
            <scheme val="minor"/>
          </rPr>
          <t>Farmer's sake. Single-stage ichidan jikomi. Completely unfiltered, unpressed. 6-8% ABV. Thick/cloudy.</t>
        </r>
      </text>
    </comment>
    <comment ref="A29" authorId="0" shapeId="0" xr:uid="{00000000-0006-0000-0B00-00001A000000}">
      <text>
        <r>
          <rPr>
            <sz val="11"/>
            <color theme="1"/>
            <rFont val="Calibri"/>
            <family val="2"/>
            <scheme val="minor"/>
          </rPr>
          <t>High-temp saccharification moto. 55-60°C for 6-8hr, then cool to 20°C. Nakao Brewery method (1947).</t>
        </r>
      </text>
    </comment>
    <comment ref="A30" authorId="0" shapeId="0" xr:uid="{00000000-0006-0000-0B00-00001B000000}">
      <text>
        <r>
          <rPr>
            <sz val="11"/>
            <color theme="1"/>
            <rFont val="Calibri"/>
            <family val="2"/>
            <scheme val="minor"/>
          </rPr>
          <t>14th century method. 10d soyashimizu (raw rice) + 14d moto. 40% raw rice. Stage allocation uncertain.</t>
        </r>
      </text>
    </comment>
    <comment ref="A31" authorId="0" shapeId="0" xr:uid="{00000000-0006-0000-0B00-00001C000000}">
      <text>
        <r>
          <rPr>
            <sz val="11"/>
            <color theme="1"/>
            <rFont val="Calibri"/>
            <family val="2"/>
            <scheme val="minor"/>
          </rPr>
          <t>1996 Nara revival. 6d soyashimizu (raw rice only, no boiled) + modern sandan shikomi. 40% raw rice.</t>
        </r>
      </text>
    </comment>
    <comment ref="A32" authorId="0" shapeId="0" xr:uid="{00000000-0006-0000-0B00-00001D000000}">
      <text>
        <r>
          <rPr>
            <sz val="11"/>
            <color theme="1"/>
            <rFont val="Calibri"/>
            <family val="2"/>
            <scheme val="minor"/>
          </rPr>
          <t>600+ year method. 10d soyashimizu + 2mo shubomoromi + 1mo moromi. Wild yeast. High acidity (2.0-3.5).</t>
        </r>
      </text>
    </comment>
    <comment ref="A33" authorId="0" shapeId="0" xr:uid="{00000000-0006-0000-0B00-00001E000000}">
      <text>
        <r>
          <rPr>
            <sz val="11"/>
            <color theme="1"/>
            <rFont val="Calibri"/>
            <family val="2"/>
            <scheme val="minor"/>
          </rPr>
          <t>Aomori Prefecture style. Abundant soft water, slightly higher ratio. Cool climate, fruity aromatics.</t>
        </r>
      </text>
    </comment>
    <comment ref="A34" authorId="0" shapeId="0" xr:uid="{00000000-0006-0000-0B00-00001F000000}">
      <text>
        <r>
          <rPr>
            <sz val="11"/>
            <color theme="1"/>
            <rFont val="Calibri"/>
            <family val="2"/>
            <scheme val="minor"/>
          </rPr>
          <t>Special designation. Standard parameters + soft water adjustment. No specific brewery documentation.</t>
        </r>
      </text>
    </comment>
    <comment ref="A35" authorId="0" shapeId="0" xr:uid="{00000000-0006-0000-0B00-000020000000}">
      <text>
        <r>
          <rPr>
            <sz val="11"/>
            <color theme="1"/>
            <rFont val="Calibri"/>
            <family val="2"/>
            <scheme val="minor"/>
          </rPr>
          <t>Tamba toji guild tradition (Hyogo). Standard yamahai parameters. Regional craft expertise.</t>
        </r>
      </text>
    </comment>
    <comment ref="A36" authorId="0" shapeId="0" xr:uid="{00000000-0006-0000-0B00-000021000000}">
      <text>
        <r>
          <rPr>
            <sz val="11"/>
            <color theme="1"/>
            <rFont val="Calibri"/>
            <family val="2"/>
            <scheme val="minor"/>
          </rPr>
          <t>Very high koji (40%). Extremely sweet/rich. No commercial examples found. Higher water to manage sugar.</t>
        </r>
      </text>
    </comment>
    <comment ref="A37" authorId="0" shapeId="0" xr:uid="{00000000-0006-0000-0B00-000022000000}">
      <text>
        <r>
          <rPr>
            <sz val="11"/>
            <color theme="1"/>
            <rFont val="Calibri"/>
            <family val="2"/>
            <scheme val="minor"/>
          </rPr>
          <t>100% koji rice (no kakemai). Nanbu Bijin commercial example. Extremely sweet/thick/amber. Very labor-intensive.</t>
        </r>
      </text>
    </comment>
    <comment ref="A38" authorId="0" shapeId="0" xr:uid="{00000000-0006-0000-0B00-000023000000}">
      <text>
        <r>
          <rPr>
            <sz val="11"/>
            <color theme="1"/>
            <rFont val="Calibri"/>
            <family val="2"/>
            <scheme val="minor"/>
          </rPr>
          <t>Historical 1878 brewing record. Needs conversion from volume percentages to modern weight ratios.</t>
        </r>
      </text>
    </comment>
    <comment ref="A39" authorId="0" shapeId="0" xr:uid="{00000000-0006-0000-0B00-000024000000}">
      <text>
        <r>
          <rPr>
            <sz val="11"/>
            <color theme="1"/>
            <rFont val="Calibri"/>
            <family val="2"/>
            <scheme val="minor"/>
          </rPr>
          <t>Historical 1878 brewing record. Simpler/older method. Needs conversion verification.</t>
        </r>
      </text>
    </comment>
    <comment ref="A40" authorId="0" shapeId="0" xr:uid="{00000000-0006-0000-0B00-000025000000}">
      <text>
        <r>
          <rPr>
            <sz val="11"/>
            <color theme="1"/>
            <rFont val="Calibri"/>
            <family val="2"/>
            <scheme val="minor"/>
          </rPr>
          <t>Historical 1878 Hachioji brewery record. Needs conversion from volume to weight ratios.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B5" authorId="0" shapeId="0" xr:uid="{00000000-0006-0000-0C00-000001000000}">
      <text>
        <r>
          <rPr>
            <sz val="11"/>
            <color theme="1"/>
            <rFont val="Calibri"/>
            <family val="2"/>
            <scheme val="minor"/>
          </rPr>
          <t>Default tank volume in L. Adjust to your actual vessel size.
Used for headspace calculations.</t>
        </r>
      </text>
    </comment>
    <comment ref="A16" authorId="0" shapeId="0" xr:uid="{00000000-0006-0000-0C00-000002000000}">
      <text>
        <r>
          <rPr>
            <sz val="11"/>
            <color theme="1"/>
            <rFont val="Calibri"/>
            <family val="2"/>
            <scheme val="minor"/>
          </rPr>
          <t>Finished koji weighs 14-17% more than dry rice input due to retained moisture from incubation. This affects moromi volume calculations.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Toji</author>
  </authors>
  <commentList>
    <comment ref="P1" authorId="0" shapeId="0" xr:uid="{00000000-0006-0000-0E00-000001000000}">
      <text>
        <r>
          <rPr>
            <sz val="11"/>
            <color theme="1"/>
            <rFont val="Calibri"/>
            <family val="2"/>
            <scheme val="minor"/>
          </rPr>
          <t>Rice variety protein profiles from NRIB 2024 Takahashi study.
G/TP = Glutelin/Total Protein (digestible)
P/TP = Prolamin/Total Protein (locked)
G/P = ratio determining amino acid release
Higher G/TP = more amino acids released to sake</t>
        </r>
      </text>
    </comment>
  </commentList>
</comments>
</file>

<file path=xl/sharedStrings.xml><?xml version="1.0" encoding="utf-8"?>
<sst xmlns="http://schemas.openxmlformats.org/spreadsheetml/2006/main" count="3156" uniqueCount="2030">
  <si>
    <t>ACIDHOUSE FERMENTATION: CALCULATOR FOR KOJI</t>
  </si>
  <si>
    <t>Traditional calculations for sake, miso, amazake, shio koji, mirin, vinegar, and other koji-based ferments</t>
  </si>
  <si>
    <t>Version 413</t>
  </si>
  <si>
    <t>SUPPORT THE COMMUNITY</t>
  </si>
  <si>
    <t>The Sake Brewers Guild shares fermentation knowledge freely. If you find this calculator useful, please consider supporting their work. They offer free seminars, a Discord community, and translated resources for 5,000+ brewers worldwide.</t>
  </si>
  <si>
    <t>Please Donate</t>
  </si>
  <si>
    <t>QUICK START</t>
  </si>
  <si>
    <t>1. Go to Recipe sheet → Enter total rice (kg) in B4</t>
  </si>
  <si>
    <t>2. Select a Recipe preset from B5 dropdown (or customize)</t>
  </si>
  <si>
    <t>3. Select rice variety and polish ratio for each lot</t>
  </si>
  <si>
    <t>4. View calculated totals: rice, koji, water, mash volume</t>
  </si>
  <si>
    <t>5. Use Plan sheet for detailed stage breakdowns</t>
  </si>
  <si>
    <t>6. Use Quick Calc for standalone calculations</t>
  </si>
  <si>
    <t>7. Use Koji Ferments for miso, amazake, mirin, shoyu, etc.</t>
  </si>
  <si>
    <t>8. All blue cells are inputs; gray cells are calculated</t>
  </si>
  <si>
    <t>VISUAL KEY</t>
  </si>
  <si>
    <t>Light blue</t>
  </si>
  <si>
    <t>Select ▽</t>
  </si>
  <si>
    <t>User input — dropdown or free entry</t>
  </si>
  <si>
    <t>Light green</t>
  </si>
  <si>
    <t>Sample</t>
  </si>
  <si>
    <t>User input — free entry, numeric</t>
  </si>
  <si>
    <t>Light gray</t>
  </si>
  <si>
    <t>Calculated value — do not edit</t>
  </si>
  <si>
    <t>White</t>
  </si>
  <si>
    <t>Label or static text</t>
  </si>
  <si>
    <t>Red triangle</t>
  </si>
  <si>
    <t>Hover here</t>
  </si>
  <si>
    <t>Hover over cell B26 to see example — Toji notes explain brewing logic</t>
  </si>
  <si>
    <t>Japanese terms</t>
  </si>
  <si>
    <t>漢字 (かな)</t>
  </si>
  <si>
    <t>Kanji with hiragana/katakana reading to aid pronunciation and learning</t>
  </si>
  <si>
    <t>PHILOSOPHY</t>
  </si>
  <si>
    <t>Sake brewing developed significantly within Buddhist temples in Japan. By the 15th century, soboshu (僧坊酒)—monk sake—from institutions like Shoryakuji Temple in Nara had become renowned. The Tamon-in Nikki (多聞院日記), diaries kept by monks at Kofukuji Temple from 1478 to 1618, document brewing techniques still studied today. These monks developed bodaimoto, using naturally cultivated lactic acid bacteria to protect fermentation—centuries before the underlying microbiology was understood.</t>
  </si>
  <si>
    <t>Shinto tradition regards rice as sacred. Inari Ōkami (稲荷大神), one of the most widely venerated kami, presides over rice, fertility, and agriculture. Over 30,000 Inari shrines across Japan reflect this relationship with rice cultivation. Sake offered at shrines (omiki/御神酒) connects brewing to religious practice. Some breweries maintain these connections—Terada Honke draws water from a shrine forest spring.</t>
  </si>
  <si>
    <t>The concept of Hakkodo (発酵道)—the Way of Fermentation—frames brewing as a practice requiring attention and responsiveness. Keisuke Terada, 23rd-generation owner of Terada Honke, describes fermentation as requiring constant adjustment to changing conditions. This aligns with Buddhist teachings on impermanence (mujō/無常): the brewer observes and responds rather than imposing fixed expectations.</t>
  </si>
  <si>
    <t>Traditional toji develop skills through observation—recognizing the chestnut aroma of healthy koji, the texture change as hyphae develop, the temperature rise in an active moto. The saying 'ichi-koji, ni-moto, san-tsukuri' (first koji, second starter, third brewing) reflects the importance of foundational steps. These observational skills remain valuable even as scientific instruments provide additional data.</t>
  </si>
  <si>
    <t>Modern research from NRIB (酒類総合研究所), the Brewing Society of Japan, and academic journals documents the biochemistry behind traditional methods. Understanding enzyme kinetics, microbial ecology, and fermentation chemistry explains why certain practices work. Many brewers find that scientific knowledge and traditional observation complement each other.</t>
  </si>
  <si>
    <t>Brewing knowledge has been transmitted through apprenticeship, guild systems, and written records for centuries. The techniques documented here—kimoto, bodaimoto, sandan-jikomi, various koji cultivation methods—represent accumulated practical knowledge. This calculator aims to make some of that knowledge accessible in a structured format.</t>
  </si>
  <si>
    <t>Similar fermentation principles appear across cultures. The same Lactobacillus species that culture Japanese nukazuke also preserve Korean kimchi. Saccharomyces cerevisiae produces both sake and wine. Aspergillus molds are used throughout East Asian food production. Fermentation knowledge crosses boundaries.</t>
  </si>
  <si>
    <t>ABOUT ACIDHOUSE</t>
  </si>
  <si>
    <t>Acidhouse Fermentation is a food company. We aim to make sake, vinegar, mirin, miso, shio koji, and other koji-based foods—transforming simple ingredients into something profound. Our real work is knowledge sharing: demonstrating how koji-based fermentation can address food waste, improve plant protein digestibility, reduce sodium in processed foods, and enable decentralized, low-energy food production.</t>
  </si>
  <si>
    <t>WHY FERMENTATION MATTERS NOW</t>
  </si>
  <si>
    <t>THE MODERN HEALTH CRISIS</t>
  </si>
  <si>
    <t>US obesity rate: 41.9% of adults (CDC, 2024) — tripled since 1960</t>
  </si>
  <si>
    <t>Childhood obesity: 19.7% of children ages 2-19</t>
  </si>
  <si>
    <t>Screen time average: 7+ hours/day for US adults; linked to gut dysbiosis</t>
  </si>
  <si>
    <t>Ultra-processed foods: 60%+ of US calories; associated with inflammation</t>
  </si>
  <si>
    <t>Gut diversity decline: Western diets show 30-40% less microbial diversity</t>
  </si>
  <si>
    <t>HOW FERMENTED FOODS HELP</t>
  </si>
  <si>
    <t>Increase microbial diversity (high-fermented-food diets boost gut diversity)</t>
  </si>
  <si>
    <t>Reduce inflammation (decrease IL-6, TNF-α markers)</t>
  </si>
  <si>
    <t>Support gut-brain axis (SCFAs influence mood/stress)</t>
  </si>
  <si>
    <t>Counter obesity (kimchi studies show reduced body fat)</t>
  </si>
  <si>
    <t>Improve mental health (psychobiotic diet reduces perceived stress)</t>
  </si>
  <si>
    <t>Enhance nutrient absorption (reduce phytic acid, increase bioavailable minerals)</t>
  </si>
  <si>
    <t>WHY KOJI SPECIFICALLY</t>
  </si>
  <si>
    <t>Food waste valorization (transforms okara, spent grain, fruit pulp)</t>
  </si>
  <si>
    <t>Plant protein improvement (increases digestibility, breaks down antinutrients)</t>
  </si>
  <si>
    <t>Sodium reduction (umami allows 30-50% less salt)</t>
  </si>
  <si>
    <t>Ambient processing (room-temperature vs. energy-intensive)</t>
  </si>
  <si>
    <t>Decentralized production (simple technology, local food systems)</t>
  </si>
  <si>
    <t>Carbon footprint (lower energy, transport, refrigeration)</t>
  </si>
  <si>
    <t>RESEARCH &amp; FURTHER READING</t>
  </si>
  <si>
    <t>GUT HEALTH &amp; FERMENTED FOODS</t>
  </si>
  <si>
    <t>Cell Metabolism (2024)</t>
  </si>
  <si>
    <t>cell.com/cell-metabolism/fulltext/S1550-4131(24)00086-X</t>
  </si>
  <si>
    <t>Microbial Biotechnology (2024)</t>
  </si>
  <si>
    <t>doi.org/10.1111/1751-7915.14428</t>
  </si>
  <si>
    <t>Nutrients (2022)</t>
  </si>
  <si>
    <t>mdpi.com/2072-6643/14/7/1527</t>
  </si>
  <si>
    <t>Nature Communications (2025)</t>
  </si>
  <si>
    <t>nature.com/articles/s41467-025-56014-6</t>
  </si>
  <si>
    <t>SCREEN TIME &amp; GUT-BRAIN AXIS</t>
  </si>
  <si>
    <t>Scientific Reports (2022)</t>
  </si>
  <si>
    <t>nature.com/articles/s41598-022-07381-3</t>
  </si>
  <si>
    <t>PMC (2024)</t>
  </si>
  <si>
    <t>pmc.ncbi.nlm.nih.gov/articles/PMC10995916/</t>
  </si>
  <si>
    <t>Frontiers Neuroscience (2021)</t>
  </si>
  <si>
    <t>frontiersin.org/articles/10.3389/fnins.2021.725500</t>
  </si>
  <si>
    <t>ACKNOWLEDGMENTS</t>
  </si>
  <si>
    <t>PRIMARY INSPIRATIONS</t>
  </si>
  <si>
    <t>Lucas Smolic (Sake Recipe Calculator, Sake Brewers Guild), Dr. Morikuni Ueda (J. Brew. Soc. Japan 115(2), 2020)</t>
  </si>
  <si>
    <t>HISTORICAL DOCUMENTS</t>
  </si>
  <si>
    <t>Korschelt (1878), Atkinson (1881), Tamon-in Nikki (多聞院日記), Goshu no Nikki (御酒之日記)</t>
  </si>
  <si>
    <t>RESEARCH INSTITUTIONS</t>
  </si>
  <si>
    <t>NRIB (酒類総合研究所), Brewing Society of Japan, Tokyo University of Agriculture</t>
  </si>
  <si>
    <t>TERMS &amp; LICENSE</t>
  </si>
  <si>
    <t>This calculator is provided as-is, without warranty of any kind. Calculations are based on published research and traditional brewing ratios, but outcomes depend on variables beyond any calculator's control: ingredient quality, environmental conditions, technique, and microbial behavior. Verify critical values independently. The author accepts no liability for brewing failures, food safety issues, spoilage, illness, or any damages arising from use of this tool. You are responsible for your own fermentation.</t>
  </si>
  <si>
    <t>This work is free to use, copy, modify, and distribute. No attribution required, though appreciated. Commercial use permitted. Derivative works encouraged. There is no proprietary claim on brewing knowledge that belongs to centuries of tradition. Take what is useful, improve it, share it forward.</t>
  </si>
  <si>
    <t>By using this calculator, you agree to freely share fermentation knowledge, to teach others what you learn, to favor cooperation over competition, and to use these methods in ways that benefit your community and the environment. Fermentation has always been open-source. Keep it that way.</t>
  </si>
  <si>
    <t>Legal Notice: Alcohol production is regulated differently in every jurisdiction. Some locations prohibit home production of alcoholic beverages entirely; others permit it for personal use within limits. In the United States, home brewing of beer and wine is federally legal up to 200 gallons per household per year, but distillation is prohibited. Sake occupies a gray area—classified as wine for tax purposes but brewed like beer. This calculator is provided for educational purposes. You are responsible for knowing and complying with the laws in your area. Nothing in this tool constitutes legal advice.</t>
  </si>
  <si>
    <t>Health Warning: Alcohol consumption carries serious health risks. Excessive drinking can cause liver disease, heart problems, neurological damage, and death. Alcohol is addictive. Pregnant individuals should not consume alcohol. Never drink and drive. If you choose to drink, do so responsibly and in moderation.</t>
  </si>
  <si>
    <t>If You Need Help: Addiction is a medical condition, not a moral failure. If you or someone you know is struggling with alcohol dependency, support is available. In the US: SAMHSA National Helpline 1-800-662-4357 (free, confidential, 24/7). Alcoholics Anonymous: aa.org. International: contact your local health services or search for addiction support in your area. Recovery is possible.</t>
  </si>
  <si>
    <t>Sake Recipe Calculator</t>
  </si>
  <si>
    <t>v539</t>
  </si>
  <si>
    <t>RECIPE SETTINGS</t>
  </si>
  <si>
    <t>Total rice (kg)</t>
  </si>
  <si>
    <t>Recipe</t>
  </si>
  <si>
    <t>Moto type</t>
  </si>
  <si>
    <t>Koji strain</t>
  </si>
  <si>
    <t>Koji style</t>
  </si>
  <si>
    <t>RICE LOTS</t>
  </si>
  <si>
    <t>Lot</t>
  </si>
  <si>
    <t>Variety</t>
  </si>
  <si>
    <t>Polish (%)</t>
  </si>
  <si>
    <t>Batch ID</t>
  </si>
  <si>
    <t>Lot A</t>
  </si>
  <si>
    <t>Lot B</t>
  </si>
  <si>
    <t>Lot C</t>
  </si>
  <si>
    <t>Lot D</t>
  </si>
  <si>
    <t>RICE ALLOCATIONS</t>
  </si>
  <si>
    <t>Addition</t>
  </si>
  <si>
    <t>%</t>
  </si>
  <si>
    <t>Lot 2</t>
  </si>
  <si>
    <t>% (auto)</t>
  </si>
  <si>
    <t>Kojimai</t>
  </si>
  <si>
    <t>Moto raw</t>
  </si>
  <si>
    <t>Moto steamed</t>
  </si>
  <si>
    <t>Soe</t>
  </si>
  <si>
    <t>Naka</t>
  </si>
  <si>
    <t>Tome</t>
  </si>
  <si>
    <t>Yondan</t>
  </si>
  <si>
    <t>CALCULATED TOTALS</t>
  </si>
  <si>
    <t>Total DRY rice (kg)</t>
  </si>
  <si>
    <t>Moto raw rice (kg)</t>
  </si>
  <si>
    <t>Rice to steam (kg)</t>
  </si>
  <si>
    <t>Koji (kg dry)</t>
  </si>
  <si>
    <t>Total water (L)</t>
  </si>
  <si>
    <t>Total water (%)</t>
  </si>
  <si>
    <t>RiceWater ratio</t>
  </si>
  <si>
    <t>Mash volume (L)</t>
  </si>
  <si>
    <t>Genshu yield (L)</t>
  </si>
  <si>
    <t>Press method</t>
  </si>
  <si>
    <t>Yield @15% ABV (L)</t>
  </si>
  <si>
    <t>STAGE BREAKDOWN</t>
  </si>
  <si>
    <t>STAGE</t>
  </si>
  <si>
    <t>Raw (kg)</t>
  </si>
  <si>
    <t>Koji (kg)</t>
  </si>
  <si>
    <t>Kakemai (kg)</t>
  </si>
  <si>
    <t>Water (L)</t>
  </si>
  <si>
    <t>W:R ratio</t>
  </si>
  <si>
    <t>Moto</t>
  </si>
  <si>
    <t>KOJI PRODUCTION</t>
  </si>
  <si>
    <t>Koji required (kg dry)</t>
  </si>
  <si>
    <t>Dry rice for koji (kg)</t>
  </si>
  <si>
    <t>Steamed weight (kg)</t>
  </si>
  <si>
    <t>Pre-inoc weight (kg)</t>
  </si>
  <si>
    <t>Estimated trays</t>
  </si>
  <si>
    <t>MOTO SANITY CHECKS</t>
  </si>
  <si>
    <t>Moto ricewater ratio</t>
  </si>
  <si>
    <t>Moto as % of total rice</t>
  </si>
  <si>
    <t>Moto volume guestimate (L)</t>
  </si>
  <si>
    <t>YEAST &amp; LACTIC</t>
  </si>
  <si>
    <t>Pitch rate (M cells/mL)</t>
  </si>
  <si>
    <t>Dry yeast needed (g)</t>
  </si>
  <si>
    <t>Liquid yeast needed (mL)</t>
  </si>
  <si>
    <t>Liquid pouches</t>
  </si>
  <si>
    <t>Acid type</t>
  </si>
  <si>
    <t>Acid amount (mL/100L)</t>
  </si>
  <si>
    <t>AMINO ACIDITY ESTIMATE</t>
  </si>
  <si>
    <t>Predicted amino acidity</t>
  </si>
  <si>
    <t>Character</t>
  </si>
  <si>
    <t>Calculation basis</t>
  </si>
  <si>
    <t>Protein → Uptake → Residual (g)</t>
  </si>
  <si>
    <t>WATER CHEMISTRY</t>
  </si>
  <si>
    <t>Source preset</t>
  </si>
  <si>
    <t>Calcium (ppm)</t>
  </si>
  <si>
    <t>Magnesium (ppm)</t>
  </si>
  <si>
    <t>Potassium (ppm)</t>
  </si>
  <si>
    <t>Sodium (ppm)</t>
  </si>
  <si>
    <t>Chloride (ppm)</t>
  </si>
  <si>
    <t>Sulfate (ppm)</t>
  </si>
  <si>
    <t>Phosphate (ppm)</t>
  </si>
  <si>
    <t>Iron (ppm)</t>
  </si>
  <si>
    <t>Manganese (ppm)</t>
  </si>
  <si>
    <t>pH</t>
  </si>
  <si>
    <t>Hardness (mg/L)</t>
  </si>
  <si>
    <t>TARGET PROFILE</t>
  </si>
  <si>
    <t>Style</t>
  </si>
  <si>
    <t>Ion</t>
  </si>
  <si>
    <t>Target</t>
  </si>
  <si>
    <t>Source</t>
  </si>
  <si>
    <t>Delta</t>
  </si>
  <si>
    <t>Status</t>
  </si>
  <si>
    <t>Action</t>
  </si>
  <si>
    <t>Calcium</t>
  </si>
  <si>
    <t>Magnesium</t>
  </si>
  <si>
    <t>Potassium</t>
  </si>
  <si>
    <t>Sodium</t>
  </si>
  <si>
    <t>Chloride</t>
  </si>
  <si>
    <t>Sulfate</t>
  </si>
  <si>
    <t>Phosphate</t>
  </si>
  <si>
    <t>Hardness</t>
  </si>
  <si>
    <t>WATER ADJUSTMENT GUIDANCE</t>
  </si>
  <si>
    <t>RO/Dilution needed?</t>
  </si>
  <si>
    <t>Suggested blend</t>
  </si>
  <si>
    <t>WATER VOLUMES</t>
  </si>
  <si>
    <t>Total recipe water (L)</t>
  </si>
  <si>
    <t>Moto water only (L)</t>
  </si>
  <si>
    <t>Apply additions to</t>
  </si>
  <si>
    <t>Volume for additions (L)</t>
  </si>
  <si>
    <t>SALT ADDITIONS (in order)</t>
  </si>
  <si>
    <t>Step</t>
  </si>
  <si>
    <t>Salt</t>
  </si>
  <si>
    <t>Total (g)</t>
  </si>
  <si>
    <t>Brand</t>
  </si>
  <si>
    <t>Notes</t>
  </si>
  <si>
    <t>1</t>
  </si>
  <si>
    <t>KH₂PO₄ (phosphate)</t>
  </si>
  <si>
    <t>Now Foods</t>
  </si>
  <si>
    <t>Add first - buffers pH</t>
  </si>
  <si>
    <t>2</t>
  </si>
  <si>
    <t>Gypsum (CaSO₄)</t>
  </si>
  <si>
    <t>LD Carlson</t>
  </si>
  <si>
    <t>Stir until dissolved</t>
  </si>
  <si>
    <t>3</t>
  </si>
  <si>
    <t>CaCl₂ (if more Ca needed)</t>
  </si>
  <si>
    <t>DowFlake</t>
  </si>
  <si>
    <t>Optional - skip if gypsum enough</t>
  </si>
  <si>
    <t>4</t>
  </si>
  <si>
    <t>Epsom salt (MgSO₄)</t>
  </si>
  <si>
    <t>Food grade</t>
  </si>
  <si>
    <t>Dissolves easily</t>
  </si>
  <si>
    <t>5</t>
  </si>
  <si>
    <t>KCl (potassium)</t>
  </si>
  <si>
    <t>Morton Salt Sub</t>
  </si>
  <si>
    <t>Add last</t>
  </si>
  <si>
    <t>ADDITION TIPS</t>
  </si>
  <si>
    <t>1. Warm water (40°C) helps dissolve salts</t>
  </si>
  <si>
    <t>2. Add salts one at a time, stir completely</t>
  </si>
  <si>
    <t>3. Let water rest 30 min before brewing</t>
  </si>
  <si>
    <t>4. If using RO blend, mix waters first</t>
  </si>
  <si>
    <t>Note: Na (sodium) not added - avoid salty sake</t>
  </si>
  <si>
    <t>Brewing Plan</t>
  </si>
  <si>
    <t>KOJI PLAN</t>
  </si>
  <si>
    <t>Koji method</t>
  </si>
  <si>
    <t>Koji style (haze)</t>
  </si>
  <si>
    <t>Koji rice lot</t>
  </si>
  <si>
    <t>Polish ratio</t>
  </si>
  <si>
    <t>Time adjustment</t>
  </si>
  <si>
    <t>hours</t>
  </si>
  <si>
    <t>Batch start</t>
  </si>
  <si>
    <t>Elapsed hours</t>
  </si>
  <si>
    <t>KOJI WEIGHT PROGRESSION</t>
  </si>
  <si>
    <t>Dry rice for koji</t>
  </si>
  <si>
    <t>1.00×</t>
  </si>
  <si>
    <t>After soaking</t>
  </si>
  <si>
    <t>1.30×</t>
  </si>
  <si>
    <t>After steaming</t>
  </si>
  <si>
    <t>1.40×</t>
  </si>
  <si>
    <t>After hiki-komi</t>
  </si>
  <si>
    <t>After inoculation</t>
  </si>
  <si>
    <t>≈ same</t>
  </si>
  <si>
    <t>Finished koji (dekoji)</t>
  </si>
  <si>
    <t>1.15×</t>
  </si>
  <si>
    <t>KOJI WORKFLOW</t>
  </si>
  <si>
    <t>Time</t>
  </si>
  <si>
    <t>Temp</t>
  </si>
  <si>
    <t>Weight</t>
  </si>
  <si>
    <t>Scheduled</t>
  </si>
  <si>
    <t>MOTO PLAN</t>
  </si>
  <si>
    <t>Moto start</t>
  </si>
  <si>
    <t>MOTO QUANTITIES</t>
  </si>
  <si>
    <t>Total moto rice (kg)</t>
  </si>
  <si>
    <t>Moto koji (kg)</t>
  </si>
  <si>
    <t>Moto water (L)</t>
  </si>
  <si>
    <t>Moto kakemai (kg)</t>
  </si>
  <si>
    <t>MOTO WORKFLOW</t>
  </si>
  <si>
    <t>Check</t>
  </si>
  <si>
    <t>MOROMI PLAN</t>
  </si>
  <si>
    <t>Moromi method</t>
  </si>
  <si>
    <t>Soe date (Day 0)</t>
  </si>
  <si>
    <t>Current day</t>
  </si>
  <si>
    <t>STAGE SCHEDULE</t>
  </si>
  <si>
    <t>Stage</t>
  </si>
  <si>
    <t>Day</t>
  </si>
  <si>
    <t>Kakemai</t>
  </si>
  <si>
    <t>Koji</t>
  </si>
  <si>
    <t>Water</t>
  </si>
  <si>
    <t>Date</t>
  </si>
  <si>
    <t>Odori</t>
  </si>
  <si>
    <t>"-"</t>
  </si>
  <si>
    <t>MOROMI WORKFLOW</t>
  </si>
  <si>
    <t>Foam</t>
  </si>
  <si>
    <t>EQUIPMENT LIST</t>
  </si>
  <si>
    <t>Category</t>
  </si>
  <si>
    <t>Item</t>
  </si>
  <si>
    <t>Japanese</t>
  </si>
  <si>
    <t>Qty</t>
  </si>
  <si>
    <t>Size/Capacity</t>
  </si>
  <si>
    <t>Have?</t>
  </si>
  <si>
    <t>RICE PREP</t>
  </si>
  <si>
    <t>Washing bags</t>
  </si>
  <si>
    <t>Kome-bukuro</t>
  </si>
  <si>
    <t>5 kg each</t>
  </si>
  <si>
    <t>22" square draw-string</t>
  </si>
  <si>
    <t>☐</t>
  </si>
  <si>
    <t>Soaking vessel</t>
  </si>
  <si>
    <t>Shinseki-oke</t>
  </si>
  <si>
    <t>Water = 1.5× rice weight</t>
  </si>
  <si>
    <t>Draining baskets</t>
  </si>
  <si>
    <t>Zaru</t>
  </si>
  <si>
    <t>3-5 kg each</t>
  </si>
  <si>
    <t>For largest stage</t>
  </si>
  <si>
    <t>STEAMING</t>
  </si>
  <si>
    <t>Koshiki/steamer</t>
  </si>
  <si>
    <t>甑</t>
  </si>
  <si>
    <t>Capacity for largest batch</t>
  </si>
  <si>
    <t>Steamer cloths</t>
  </si>
  <si>
    <t>Mushi-nuno</t>
  </si>
  <si>
    <t>28"×40"</t>
  </si>
  <si>
    <t>One per 5kg + spare</t>
  </si>
  <si>
    <t>Cooling surface</t>
  </si>
  <si>
    <t>Hōrei-dai</t>
  </si>
  <si>
    <t>Metal or cloth spread</t>
  </si>
  <si>
    <t>KOJI</t>
  </si>
  <si>
    <t>Koji trays (futa)</t>
  </si>
  <si>
    <t>Koji-buta 蓋</t>
  </si>
  <si>
    <t>1.5 kg each</t>
  </si>
  <si>
    <t>Traditional method</t>
  </si>
  <si>
    <t>Koji tubs (Ueda)</t>
  </si>
  <si>
    <t>Tarai 盥</t>
  </si>
  <si>
    <t>15 kg each</t>
  </si>
  <si>
    <t>Modern method</t>
  </si>
  <si>
    <t>Koji boxes</t>
  </si>
  <si>
    <t>Hako 箱</t>
  </si>
  <si>
    <t>10 kg each</t>
  </si>
  <si>
    <t>Box method</t>
  </si>
  <si>
    <t>Wrapping cloths</t>
  </si>
  <si>
    <t>Tsutsumi-nuno</t>
  </si>
  <si>
    <t>Cotton</t>
  </si>
  <si>
    <t>For bundling</t>
  </si>
  <si>
    <t>Incubator/muro</t>
  </si>
  <si>
    <t>Koji-muro 室</t>
  </si>
  <si>
    <t>28-42°C</t>
  </si>
  <si>
    <t>Temp/humidity controlled</t>
  </si>
  <si>
    <t>MOTO</t>
  </si>
  <si>
    <t>Moto vessel</t>
  </si>
  <si>
    <t>Shubo-oke</t>
  </si>
  <si>
    <t>Volume × 1.5 headspace</t>
  </si>
  <si>
    <t>Hangiri tubs (kimoto)</t>
  </si>
  <si>
    <t>半切</t>
  </si>
  <si>
    <t>5-10 L each</t>
  </si>
  <si>
    <t>For temoto division</t>
  </si>
  <si>
    <t>Kai paddle (kimoto)</t>
  </si>
  <si>
    <t>櫂</t>
  </si>
  <si>
    <t>1-2 m long</t>
  </si>
  <si>
    <t>For yamaoroshi</t>
  </si>
  <si>
    <t>Daki-daru warmers</t>
  </si>
  <si>
    <t>抱樽</t>
  </si>
  <si>
    <t>Hot water jugs</t>
  </si>
  <si>
    <t>For warming moto</t>
  </si>
  <si>
    <t>MOROMI</t>
  </si>
  <si>
    <t>Primary fermenter</t>
  </si>
  <si>
    <t>Moromi-oke</t>
  </si>
  <si>
    <t>2× volume for foam</t>
  </si>
  <si>
    <t>Kai/paddle</t>
  </si>
  <si>
    <t>Long</t>
  </si>
  <si>
    <t>For twice-daily stirring</t>
  </si>
  <si>
    <t>Airlock/cover</t>
  </si>
  <si>
    <t>Loose-fit</t>
  </si>
  <si>
    <t>Allows CO2 escape</t>
  </si>
  <si>
    <t>PRESSING</t>
  </si>
  <si>
    <t>Press bags</t>
  </si>
  <si>
    <t>Sakabukuro 酒袋</t>
  </si>
  <si>
    <t>6 L each</t>
  </si>
  <si>
    <t>Cotton/nylon mesh</t>
  </si>
  <si>
    <t>Press/fune</t>
  </si>
  <si>
    <t>槽</t>
  </si>
  <si>
    <t>Or cheese press</t>
  </si>
  <si>
    <t>Drip collection</t>
  </si>
  <si>
    <t>Tare-kuchi</t>
  </si>
  <si>
    <t>For arabashiri</t>
  </si>
  <si>
    <t>STORAGE</t>
  </si>
  <si>
    <t>Secondary vessels</t>
  </si>
  <si>
    <t>Chozo-oke</t>
  </si>
  <si>
    <t>4 L carboys</t>
  </si>
  <si>
    <t>Glass or food-grade</t>
  </si>
  <si>
    <t>Bottles (720mL)</t>
  </si>
  <si>
    <t>Bin</t>
  </si>
  <si>
    <t>720 mL</t>
  </si>
  <si>
    <t>Standard sake size</t>
  </si>
  <si>
    <t>INSTRUMENTS</t>
  </si>
  <si>
    <t>Scale</t>
  </si>
  <si>
    <t>Hakari</t>
  </si>
  <si>
    <t>0.1g precision</t>
  </si>
  <si>
    <t>For koji-kin dosing</t>
  </si>
  <si>
    <t>Thermometer</t>
  </si>
  <si>
    <t>Ondokei</t>
  </si>
  <si>
    <t>Digital probe</t>
  </si>
  <si>
    <t>Room + product</t>
  </si>
  <si>
    <t>pH meter</t>
  </si>
  <si>
    <t>pH-kei</t>
  </si>
  <si>
    <t>Or test strips</t>
  </si>
  <si>
    <t>Hydrometer/refract.</t>
  </si>
  <si>
    <t>Tōdo-kei</t>
  </si>
  <si>
    <t>Baumé scale</t>
  </si>
  <si>
    <t>For moromi tracking</t>
  </si>
  <si>
    <t>Timer</t>
  </si>
  <si>
    <t>Taimā</t>
  </si>
  <si>
    <t>For soak timing</t>
  </si>
  <si>
    <t>QUICK CALCULATORS</t>
  </si>
  <si>
    <t>RICE WEIGHT CONVERSIONS</t>
  </si>
  <si>
    <t>DILUTION CALCULATOR</t>
  </si>
  <si>
    <t>Steamed rice (kg)</t>
  </si>
  <si>
    <t>Current ABV (%)</t>
  </si>
  <si>
    <t>→ Dry rice was (kg)</t>
  </si>
  <si>
    <t>÷ 1.40</t>
  </si>
  <si>
    <t>Current volume (L)</t>
  </si>
  <si>
    <t>Soaked rice (kg)</t>
  </si>
  <si>
    <t>Target ABV (%)</t>
  </si>
  <si>
    <t>÷ 1.30</t>
  </si>
  <si>
    <t>→ Final volume (L)</t>
  </si>
  <si>
    <t>ABV₁ × V₁ / ABV₂</t>
  </si>
  <si>
    <t>Dry rice (kg)</t>
  </si>
  <si>
    <t>→ Water to add (L)</t>
  </si>
  <si>
    <t>Final - Current</t>
  </si>
  <si>
    <t>After soak (kg)</t>
  </si>
  <si>
    <t>→ Absorption %</t>
  </si>
  <si>
    <t>(after-before)/before × 100</t>
  </si>
  <si>
    <t>SMV (NIHONSHUDO)</t>
  </si>
  <si>
    <t>Specific gravity</t>
  </si>
  <si>
    <t>UEDA METHOD DRY-DOWN</t>
  </si>
  <si>
    <t>→ SMV (日本酒度)</t>
  </si>
  <si>
    <t>(1/SG - 1) × 1443</t>
  </si>
  <si>
    <t>→ Target hiki-komi (kg)</t>
  </si>
  <si>
    <t>× 0.85</t>
  </si>
  <si>
    <t>TEMPERATURE</t>
  </si>
  <si>
    <t>→ Water to remove (kg)</t>
  </si>
  <si>
    <t>× 0.15</t>
  </si>
  <si>
    <t>Celsius (°C)</t>
  </si>
  <si>
    <t>Drying temp (°C)</t>
  </si>
  <si>
    <t>rec: 38-42</t>
  </si>
  <si>
    <t>→ Fahrenheit (°F)</t>
  </si>
  <si>
    <t>°C × 9/5 + 32</t>
  </si>
  <si>
    <t>Humidity (% RH)</t>
  </si>
  <si>
    <t>rec: &lt;50%</t>
  </si>
  <si>
    <t>→ Est. dry time (min)</t>
  </si>
  <si>
    <t>≈55 min at 40°C/40%RH</t>
  </si>
  <si>
    <t>KOJI TRAY COUNT</t>
  </si>
  <si>
    <t>Fahrenheit (°F)</t>
  </si>
  <si>
    <t>→ Celsius (°C)</t>
  </si>
  <si>
    <t>Tray capacity (kg)</t>
  </si>
  <si>
    <t>→ Trays needed</t>
  </si>
  <si>
    <t>CEILING(weight/capacity)</t>
  </si>
  <si>
    <t>YIELD ESTIMATE</t>
  </si>
  <si>
    <t>Total dry rice (kg)</t>
  </si>
  <si>
    <t>→ Genshu yield (L)</t>
  </si>
  <si>
    <t>rice × 1.3 × 0.63 × (18/ABV)</t>
  </si>
  <si>
    <t>LACTIC ACID (SOKUJO)</t>
  </si>
  <si>
    <t>MOROMI PROGRESS</t>
  </si>
  <si>
    <t>Current Baumé (°Bé)</t>
  </si>
  <si>
    <t>Acid concentration (%)</t>
  </si>
  <si>
    <t>Starting Baumé (°Bé)</t>
  </si>
  <si>
    <t>→ mL to add</t>
  </si>
  <si>
    <t>0.4% of water ÷ concentration</t>
  </si>
  <si>
    <t>→ % Complete</t>
  </si>
  <si>
    <t>(start - current) / start × 100</t>
  </si>
  <si>
    <t>BAUMÉ ↔ SG</t>
  </si>
  <si>
    <t>Days since Soe</t>
  </si>
  <si>
    <t>Baumé (°Bé)</t>
  </si>
  <si>
    <t>→ Est. ABV (%)</t>
  </si>
  <si>
    <t>→ Specific Gravity</t>
  </si>
  <si>
    <t>145 / (145 - Bé)</t>
  </si>
  <si>
    <t>Specific Gravity</t>
  </si>
  <si>
    <t>RICE PROTEIN ESTIMATE</t>
  </si>
  <si>
    <t>→ Baumé (°Bé)</t>
  </si>
  <si>
    <t>145 - (145 / SG)</t>
  </si>
  <si>
    <t>Polish ratio (%)</t>
  </si>
  <si>
    <t>Original protein (%)</t>
  </si>
  <si>
    <t>→ Est. remaining protein (%)</t>
  </si>
  <si>
    <t>BRIX CONVERSIONS</t>
  </si>
  <si>
    <t>WATER RATIO</t>
  </si>
  <si>
    <t>Brix (°Bx)</t>
  </si>
  <si>
    <t>Brix / 1.8</t>
  </si>
  <si>
    <t>Water ratio</t>
  </si>
  <si>
    <t>→ Total water (L)</t>
  </si>
  <si>
    <t>KOJI SPORE DOSING (種付け)</t>
  </si>
  <si>
    <t>PRESSING YIELD</t>
  </si>
  <si>
    <t>Sou-haze (Standard)</t>
  </si>
  <si>
    <t>select type</t>
  </si>
  <si>
    <t>Moromi volume (L)</t>
  </si>
  <si>
    <t>Press efficiency (%)</t>
  </si>
  <si>
    <t>-&gt; Base rate (g/kg)</t>
  </si>
  <si>
    <t>from style</t>
  </si>
  <si>
    <t>→ Sake yield (L)</t>
  </si>
  <si>
    <t>Spore age (months)</t>
  </si>
  <si>
    <t>0=fresh</t>
  </si>
  <si>
    <t>-&gt; Adjusted rate (g/kg)</t>
  </si>
  <si>
    <t>age-adjusted</t>
  </si>
  <si>
    <t>-&gt; Tane-koji needed (g)</t>
  </si>
  <si>
    <t>rice x rate</t>
  </si>
  <si>
    <t>Carrier ratio</t>
  </si>
  <si>
    <t>:1 (carrier:spores)</t>
  </si>
  <si>
    <t>-&gt; Carrier amount (g)</t>
  </si>
  <si>
    <t>spores x ratio</t>
  </si>
  <si>
    <t>-&gt; Total mixture (g)</t>
  </si>
  <si>
    <t>spores + carrier</t>
  </si>
  <si>
    <t>Sprinkling passes</t>
  </si>
  <si>
    <t>-&gt; Per pass (g)</t>
  </si>
  <si>
    <t>60/40 split if 2 passes</t>
  </si>
  <si>
    <t xml:space="preserve">   Inoc. temp:</t>
  </si>
  <si>
    <t>32-35C</t>
  </si>
  <si>
    <t>critical for germination</t>
  </si>
  <si>
    <t>BOTTLE COUNT</t>
  </si>
  <si>
    <t>ABV ↔ ABW</t>
  </si>
  <si>
    <t>Total volume (L)</t>
  </si>
  <si>
    <t>ABV (%)</t>
  </si>
  <si>
    <t>Bottle size (mL)</t>
  </si>
  <si>
    <t>→ ABW (%)</t>
  </si>
  <si>
    <t>ABV × 0.79</t>
  </si>
  <si>
    <t>→ Bottles</t>
  </si>
  <si>
    <t>FLOOR(L×1000/mL)</t>
  </si>
  <si>
    <t>ABW (%)</t>
  </si>
  <si>
    <t>→ ABV (%)</t>
  </si>
  <si>
    <t>SAKE KASU (LEES)</t>
  </si>
  <si>
    <t>PASTEURIZATION HOLD</t>
  </si>
  <si>
    <t>Target temp (°C)</t>
  </si>
  <si>
    <t>→ Est. kasu (kg)</t>
  </si>
  <si>
    <t>→ Hold time (min)</t>
  </si>
  <si>
    <t>ACIDITY BOOST</t>
  </si>
  <si>
    <t>YEAST STARTER</t>
  </si>
  <si>
    <t>Sake volume (L)</t>
  </si>
  <si>
    <t>Total moromi volume (L)</t>
  </si>
  <si>
    <t>Current TA (mL)</t>
  </si>
  <si>
    <t>Pitch rate (%)</t>
  </si>
  <si>
    <t>Target TA (mL)</t>
  </si>
  <si>
    <t>→ Moto volume (L)</t>
  </si>
  <si>
    <t>→ 88% lactic acid (mL)</t>
  </si>
  <si>
    <t>KOJI RATIO CHECK</t>
  </si>
  <si>
    <t>RICE WASH WATER</t>
  </si>
  <si>
    <t>Koji rice (kg)</t>
  </si>
  <si>
    <t>→ Wash water (L)</t>
  </si>
  <si>
    <t>rice × 3</t>
  </si>
  <si>
    <t>→ Koji ratio (%)</t>
  </si>
  <si>
    <t>koji/total × 100</t>
  </si>
  <si>
    <t>→ Soak water (L)</t>
  </si>
  <si>
    <t>rice × 1.5</t>
  </si>
  <si>
    <t>MASH TEMPERATURE</t>
  </si>
  <si>
    <t>input weight</t>
  </si>
  <si>
    <t>Rice temp (°C)</t>
  </si>
  <si>
    <t>measured</t>
  </si>
  <si>
    <t>Water/mash (kg or L)</t>
  </si>
  <si>
    <t>1 kg ≈ 1 L</t>
  </si>
  <si>
    <t>Water temp (°C)</t>
  </si>
  <si>
    <t>→ Final mash temp (°C)</t>
  </si>
  <si>
    <t>heat balance</t>
  </si>
  <si>
    <t>3-COMPONENT (Rice + Koji + Water)</t>
  </si>
  <si>
    <t>kakemai</t>
  </si>
  <si>
    <t>kojimai</t>
  </si>
  <si>
    <t>Koji temp (°C)</t>
  </si>
  <si>
    <t>typically 30-35°C</t>
  </si>
  <si>
    <t>Cp: rice=2.7, koji=1.8</t>
  </si>
  <si>
    <t>TOJI 3.5× METHOD</t>
  </si>
  <si>
    <t>Target mash temp (°C)</t>
  </si>
  <si>
    <t>desired final</t>
  </si>
  <si>
    <t>Mizu-koji temp (°C)</t>
  </si>
  <si>
    <t>water+koji temp</t>
  </si>
  <si>
    <t>→ Required rice temp (°C)</t>
  </si>
  <si>
    <t>(Target-Mizu)×3.5+Mizu</t>
  </si>
  <si>
    <t>YODAN CALCULATOR (四段)</t>
  </si>
  <si>
    <t>TRADITIONAL METHOD (Toji Style)</t>
  </si>
  <si>
    <t>Ratio-based: 7-15% of total rice. Nada-Ken Society standard.</t>
  </si>
  <si>
    <t>nada-ken.com/main/en/index_y/214.html</t>
  </si>
  <si>
    <t>Total rice in batch (kg)</t>
  </si>
  <si>
    <t>Yodan % of total</t>
  </si>
  <si>
    <t>7% subtle</t>
  </si>
  <si>
    <t>Rice type</t>
  </si>
  <si>
    <t>Mochi</t>
  </si>
  <si>
    <t>10% moderate</t>
  </si>
  <si>
    <t>15% ama-kuchi</t>
  </si>
  <si>
    <t>→ Yodan rice (kg)</t>
  </si>
  <si>
    <t>Koji ratio</t>
  </si>
  <si>
    <t>→ Koji needed (kg)</t>
  </si>
  <si>
    <t>→ Water needed (L)</t>
  </si>
  <si>
    <t>→ Est. amazake (L)</t>
  </si>
  <si>
    <t xml:space="preserve">   Process:</t>
  </si>
  <si>
    <t>55-60°C, 8-14 hr, stir every 2-3 hr</t>
  </si>
  <si>
    <t>WESTERN METHOD (SMV Target)</t>
  </si>
  <si>
    <t>Calculate addition from target sweetness. Based on Eckhardt formula.</t>
  </si>
  <si>
    <t>~1.75g sugar per liter per SMV point (homebrewsake.com)</t>
  </si>
  <si>
    <t>Current SMV</t>
  </si>
  <si>
    <t>Target SMV</t>
  </si>
  <si>
    <t>Amazake Brix</t>
  </si>
  <si>
    <t>→ Sugar needed (g)</t>
  </si>
  <si>
    <t>→ Amazake to add (L)</t>
  </si>
  <si>
    <t>REVERSE CALCULATOR</t>
  </si>
  <si>
    <t>Enter what you have, see what happens.</t>
  </si>
  <si>
    <t>Amazake to add (L)</t>
  </si>
  <si>
    <t>→ Est. SMV change</t>
  </si>
  <si>
    <t>→ Predicted SMV</t>
  </si>
  <si>
    <t>WATER YODAN (ABV Dilution)</t>
  </si>
  <si>
    <t>Post-pressing dilution. Add gradually, cannot remove.</t>
  </si>
  <si>
    <t>KG ↔ LBS</t>
  </si>
  <si>
    <t>Kilograms (kg)</t>
  </si>
  <si>
    <t>→ Pounds (lbs)</t>
  </si>
  <si>
    <t>× 2.205</t>
  </si>
  <si>
    <t>Pounds (lbs)</t>
  </si>
  <si>
    <t>→ Kilograms (kg)</t>
  </si>
  <si>
    <t>× 0.454</t>
  </si>
  <si>
    <t>Koji Ferments Calculator</t>
  </si>
  <si>
    <t>SHIO KOJI (塩麹) — Salt Koji</t>
  </si>
  <si>
    <t>Versatile seasoning paste. Koji enzymes tenderize protein and develop umami. Use as marinade, seasoning, or salt replacement.</t>
  </si>
  <si>
    <t>INPUTS</t>
  </si>
  <si>
    <t>Target shio koji (kg)</t>
  </si>
  <si>
    <t>Salt ratio (%)</t>
  </si>
  <si>
    <t>CALCULATED</t>
  </si>
  <si>
    <t>Rice koji (kg)</t>
  </si>
  <si>
    <t>Salt (g)</t>
  </si>
  <si>
    <t>Water (mL)</t>
  </si>
  <si>
    <t>PROCESS</t>
  </si>
  <si>
    <t>Mix method</t>
  </si>
  <si>
    <t>Combine all, massage daily</t>
  </si>
  <si>
    <t>Fermentation</t>
  </si>
  <si>
    <t>7-14 days at 20-25°C</t>
  </si>
  <si>
    <t>Storage</t>
  </si>
  <si>
    <t>Refrigerate, use within 6 months</t>
  </si>
  <si>
    <t>AMAZAKE (甘酒) — Sweet Rice Drink</t>
  </si>
  <si>
    <t>Traditional sweet drink made by koji saccharification of rice. No alcohol (unless fermented further). High in glucose, B vitamins, and koji enzymes.</t>
  </si>
  <si>
    <t>Target amazake (L)</t>
  </si>
  <si>
    <t>Rice, dry (kg)</t>
  </si>
  <si>
    <t>Cook rice</t>
  </si>
  <si>
    <t>Soft, slightly wet</t>
  </si>
  <si>
    <t>Cool to</t>
  </si>
  <si>
    <t>60°C</t>
  </si>
  <si>
    <t>Mix koji</t>
  </si>
  <si>
    <t>Combine, hold 55-60°C</t>
  </si>
  <si>
    <t>Saccharification</t>
  </si>
  <si>
    <t>8-12 hours at 55-60°C</t>
  </si>
  <si>
    <t>Refrigerate 1 week, freeze longer</t>
  </si>
  <si>
    <t>MISO (味噌) — Fermented Soybean Paste</t>
  </si>
  <si>
    <t>Protein-rich paste fermented 3 months to 3+ years. Koji enzymes break down soy protein into amino acids (umami). Ratio of koji to soy determines sweetness vs. depth.</t>
  </si>
  <si>
    <t>Target miso (kg)</t>
  </si>
  <si>
    <t>Salt (%)</t>
  </si>
  <si>
    <t>Soybeans, dry (kg)</t>
  </si>
  <si>
    <t>Salt (kg)</t>
  </si>
  <si>
    <t>Soy cooking liquid (mL)</t>
  </si>
  <si>
    <t>MISO STYLES</t>
  </si>
  <si>
    <t>Shiro (white)</t>
  </si>
  <si>
    <t>Koji ratio 1.5-2.0, 6-8% salt, 1-3 months</t>
  </si>
  <si>
    <t>Shinshu (yellow)</t>
  </si>
  <si>
    <t>Koji ratio 1.0, 12% salt, 6-12 months</t>
  </si>
  <si>
    <t>Aka (red)</t>
  </si>
  <si>
    <t>Koji ratio 0.8-1.0, 13% salt, 1-3 years</t>
  </si>
  <si>
    <t>Hatcho</t>
  </si>
  <si>
    <t>Soy koji only, 10-12% salt, 2-3 years</t>
  </si>
  <si>
    <t>Mugi (barley)</t>
  </si>
  <si>
    <t>Barley koji, ratio 1.0, 10-12%, 1-2 years</t>
  </si>
  <si>
    <t>Soak soybeans</t>
  </si>
  <si>
    <t>12-24 hours</t>
  </si>
  <si>
    <t>Cook soybeans</t>
  </si>
  <si>
    <t>Pressure 45 min or boil 3-4 hr</t>
  </si>
  <si>
    <t>Mash soybeans</t>
  </si>
  <si>
    <t>Coarse or smooth</t>
  </si>
  <si>
    <t>Mix salt + koji</t>
  </si>
  <si>
    <t>Combine thoroughly</t>
  </si>
  <si>
    <t>Combine</t>
  </si>
  <si>
    <t>Cool soy to &lt;40°C, mix all</t>
  </si>
  <si>
    <t>Pack vessel</t>
  </si>
  <si>
    <t>Press firmly, no air pockets</t>
  </si>
  <si>
    <t>Weight + seal</t>
  </si>
  <si>
    <t>20-30% weight on top</t>
  </si>
  <si>
    <t>Ferment</t>
  </si>
  <si>
    <t>Cool dark place, 6 mo - 3 yr</t>
  </si>
  <si>
    <t>MIRIN (味醂) — Sweet Rice Wine</t>
  </si>
  <si>
    <t>Sweet cooking wine (~14% ABV, 40-50% sugar). Glutinous rice saccharified by koji, alcohol from shochu prevents yeast fermentation. Essential for teriyaki, nimono.</t>
  </si>
  <si>
    <t>Target mirin (L)</t>
  </si>
  <si>
    <t>Shochu ABV (%)</t>
  </si>
  <si>
    <t>Glutinous rice, dry (kg)</t>
  </si>
  <si>
    <t>Shochu (L)</t>
  </si>
  <si>
    <t>Steam rice</t>
  </si>
  <si>
    <t>Until translucent, firm not sticky</t>
  </si>
  <si>
    <t>Combine all</t>
  </si>
  <si>
    <t>Cool rice + koji + shochu</t>
  </si>
  <si>
    <t>40-60 days at 20-30°C</t>
  </si>
  <si>
    <t>Press</t>
  </si>
  <si>
    <t>Strain through cloth</t>
  </si>
  <si>
    <t>Age (optional)</t>
  </si>
  <si>
    <t>3-12 months</t>
  </si>
  <si>
    <t>AKAZU (赤酢) — Red Vinegar from Sake Lees</t>
  </si>
  <si>
    <t>Deep red vinegar from aged sake kasu. Defines traditional Edomae sushi. Kasu aged 3-8+ years until red-brown, then fermented with acetic acid bacteria.</t>
  </si>
  <si>
    <t>Target akazu (L)</t>
  </si>
  <si>
    <t>Kasu age (years)</t>
  </si>
  <si>
    <t>Target acidity (%)</t>
  </si>
  <si>
    <t>Aged sake kasu (kg)</t>
  </si>
  <si>
    <t>Seed vinegar (L)</t>
  </si>
  <si>
    <t>Extract kasu</t>
  </si>
  <si>
    <t>Soak 3-7 days, strain</t>
  </si>
  <si>
    <t>Dilute extract</t>
  </si>
  <si>
    <t>To 5-7% alcohol</t>
  </si>
  <si>
    <t>Inoculate</t>
  </si>
  <si>
    <t>Add seed vinegar</t>
  </si>
  <si>
    <t>1-3 months at 25-30°C</t>
  </si>
  <si>
    <t>DOBUROKU (濁酒) — Unfiltered Sake</t>
  </si>
  <si>
    <t>Traditional farmhouse sake, unfiltered. Contains rice solids, active enzymes, and live yeast. Simpler than polished sake—uses table rice, less precise ratios.</t>
  </si>
  <si>
    <t>Target doburoku (L)</t>
  </si>
  <si>
    <t>Yeast</t>
  </si>
  <si>
    <t>1-2 g dry or Kyokai #7-9</t>
  </si>
  <si>
    <t>Firm, separate grains</t>
  </si>
  <si>
    <t>Rice + koji + water + yeast</t>
  </si>
  <si>
    <t>10-14 days at 15-20°C</t>
  </si>
  <si>
    <t>Serve</t>
  </si>
  <si>
    <t>Unfiltered, with solids</t>
  </si>
  <si>
    <t>KASUZUKE (粕漬け) — Sake Lees Pickling</t>
  </si>
  <si>
    <t>Vegetables or fish pickled in sake kasu (lees). Koji enzymes continue working, developing complex umami. Narazuke uses repeated kasu changes over years.</t>
  </si>
  <si>
    <t>Vegetables/fish (kg)</t>
  </si>
  <si>
    <t>Sake kasu (kg)</t>
  </si>
  <si>
    <t>Sugar/mirin (g)</t>
  </si>
  <si>
    <t>Pre-salt vegetables</t>
  </si>
  <si>
    <t>Salt 2-24 hours, drain</t>
  </si>
  <si>
    <t>Prepare kasu bed</t>
  </si>
  <si>
    <t>Mix kasu + sugar/mirin</t>
  </si>
  <si>
    <t>Embed items</t>
  </si>
  <si>
    <t>Fully surrounded by kasu</t>
  </si>
  <si>
    <t>1 week - 3+ years</t>
  </si>
  <si>
    <t>SHOYU (醤油) — Soy Sauce</t>
  </si>
  <si>
    <t>Traditional Japanese soy sauce. Soybeans and wheat fermented with koji, then aged in brine (moromi) for 6-18+ months. Koji enzymes break down proteins into amino acids (umami) and starches into sugars.</t>
  </si>
  <si>
    <t>Miso ratios</t>
  </si>
  <si>
    <t>The Book of Miso (Shurtleff &amp; Aoyagi); J. Brew. Soc. Japan</t>
  </si>
  <si>
    <t>醸協 Vol.93, 1998; Morita H., 調理科学 19(3), 1986</t>
  </si>
  <si>
    <t>Target shoyu (L)</t>
  </si>
  <si>
    <t>Soy:wheat ratio</t>
  </si>
  <si>
    <t>Wheat (kg)</t>
  </si>
  <si>
    <t>Koji starter (g)</t>
  </si>
  <si>
    <t>Water for brine (L)</t>
  </si>
  <si>
    <t>SHOYU STYLES</t>
  </si>
  <si>
    <t>Koikuchi (濃口)</t>
  </si>
  <si>
    <t>1:1 soy:wheat, 16-18% salt, 12-18 mo</t>
  </si>
  <si>
    <t>Usukuchi (淡口)</t>
  </si>
  <si>
    <t>1:1.2 soy:wheat, 18-19% salt, 12 mo</t>
  </si>
  <si>
    <t>Tamari (溜まり)</t>
  </si>
  <si>
    <t>Soy only (no wheat), 16% salt, 18+ mo</t>
  </si>
  <si>
    <t>Shiro (白)</t>
  </si>
  <si>
    <t>Mostly wheat, 18% salt, 3-6 mo</t>
  </si>
  <si>
    <t>Saishikomi (再仕込)</t>
  </si>
  <si>
    <t>Soy in shoyu instead of brine, 2x ferment</t>
  </si>
  <si>
    <t>12-18 hours</t>
  </si>
  <si>
    <t>Steam or pressure cook until soft</t>
  </si>
  <si>
    <t>Roast wheat</t>
  </si>
  <si>
    <t>Dry roast until fragrant, crack</t>
  </si>
  <si>
    <t>Mix &amp; inoculate</t>
  </si>
  <si>
    <t>Combine warm soy + wheat + koji spores</t>
  </si>
  <si>
    <t>Koji incubation</t>
  </si>
  <si>
    <t>3 days at 25-30°C</t>
  </si>
  <si>
    <t>Make moromi</t>
  </si>
  <si>
    <t>Add koji to brine in vessel</t>
  </si>
  <si>
    <t>Ferment (moromi)</t>
  </si>
  <si>
    <t>6-18 months at ambient</t>
  </si>
  <si>
    <t>Strain through cloth, press solids</t>
  </si>
  <si>
    <t>Pasteurize (optional)</t>
  </si>
  <si>
    <t>Heat to 80°C</t>
  </si>
  <si>
    <t>TAMARI (溜まり) — Wheat-Free Soy Sauce</t>
  </si>
  <si>
    <t>Originally the liquid that pools atop aging miso. Modern tamari uses soybeans only (no wheat), producing thicker, richer sauce with deeper umami. Traditional to Aichi prefecture. Gluten-free.</t>
  </si>
  <si>
    <t>Target tamari (L)</t>
  </si>
  <si>
    <t>Soak &amp; cook soy</t>
  </si>
  <si>
    <t>Same as shoyu</t>
  </si>
  <si>
    <t>Form miso-dama</t>
  </si>
  <si>
    <t>Shape into balls (optional)</t>
  </si>
  <si>
    <t>3-4 days at 28-32°C</t>
  </si>
  <si>
    <t>18-36 months</t>
  </si>
  <si>
    <t>Press &amp; age</t>
  </si>
  <si>
    <t>Press, settle, optional pasteurize</t>
  </si>
  <si>
    <t>REFERENCES</t>
  </si>
  <si>
    <t>Shio koji / amazake</t>
  </si>
  <si>
    <t>Traditional ratios (Marukome, Yamasa); 発酵食品学; J. Brew. Soc. Japan</t>
  </si>
  <si>
    <t>Mirin production</t>
  </si>
  <si>
    <t>Akazu tradition</t>
  </si>
  <si>
    <t>Yokoi Vinegar (Handa); Adams M., Food Microbiology, 1998</t>
  </si>
  <si>
    <t>Doburoku</t>
  </si>
  <si>
    <t>Traditional farmhouse methods; pre-1899 home brewing practice</t>
  </si>
  <si>
    <t>Shoyu / tamari</t>
  </si>
  <si>
    <t>Kikkoman technical literature; The Book of Miso; 醤油の科学</t>
  </si>
  <si>
    <t>Soak Time Calculator</t>
  </si>
  <si>
    <t>SOAK PARAMETERS</t>
  </si>
  <si>
    <t>Wash water temp</t>
  </si>
  <si>
    <t>°C</t>
  </si>
  <si>
    <t>Cold water slows absorption during wash</t>
  </si>
  <si>
    <t>Wash time</t>
  </si>
  <si>
    <t>min</t>
  </si>
  <si>
    <t>Gentle motion only to prevent cracking</t>
  </si>
  <si>
    <t>Soak water temp</t>
  </si>
  <si>
    <t>Match wash temp; colder = more control</t>
  </si>
  <si>
    <t>Actual soak time</t>
  </si>
  <si>
    <t>Record actual - compare to recommended below</t>
  </si>
  <si>
    <t>Rice storage temp</t>
  </si>
  <si>
    <t>Match both wash &amp; soak temps to this</t>
  </si>
  <si>
    <t>Cracking risk</t>
  </si>
  <si>
    <t>°C max</t>
  </si>
  <si>
    <t>Rice lot</t>
  </si>
  <si>
    <t>CALCULATED TARGETS</t>
  </si>
  <si>
    <t>Base soak time</t>
  </si>
  <si>
    <t>Temp adjustment</t>
  </si>
  <si>
    <t>15°C baseline; colder = longer</t>
  </si>
  <si>
    <t>Recommended soak</t>
  </si>
  <si>
    <t>Target absorption</t>
  </si>
  <si>
    <t>Weight gain from dry rice</t>
  </si>
  <si>
    <t>Karashi rest</t>
  </si>
  <si>
    <t>45 min minimum; some brewers do 24 hrs</t>
  </si>
  <si>
    <t>Fat extraction</t>
  </si>
  <si>
    <t>Warmer wash = more lipid removal</t>
  </si>
  <si>
    <t>FAT EXTRACTION GUIDE</t>
  </si>
  <si>
    <t>Water temp</t>
  </si>
  <si>
    <t>Time needed</t>
  </si>
  <si>
    <t>Fats extracted</t>
  </si>
  <si>
    <t>Polish guidance</t>
  </si>
  <si>
    <t>5-8°C</t>
  </si>
  <si>
    <t>10+ min</t>
  </si>
  <si>
    <t>Linoleic only (mp -5°C)</t>
  </si>
  <si>
    <t>≤50% daiginjo - timing control critical</t>
  </si>
  <si>
    <t>8-12°C</t>
  </si>
  <si>
    <t>5-8 min</t>
  </si>
  <si>
    <t>Linoleic + partial oleic</t>
  </si>
  <si>
    <t>50-60% ginjo - balance of control &amp; extraction</t>
  </si>
  <si>
    <t>12-15°C</t>
  </si>
  <si>
    <t>3-5 min</t>
  </si>
  <si>
    <t>Linoleic + oleic (mp 13°C)</t>
  </si>
  <si>
    <t>70% junmai - good fat removal</t>
  </si>
  <si>
    <t>15-18°C</t>
  </si>
  <si>
    <t>Most unsaturated (75%)</t>
  </si>
  <si>
    <t>80% standard - thorough extraction</t>
  </si>
  <si>
    <t>18-25°C</t>
  </si>
  <si>
    <t>2-3 min</t>
  </si>
  <si>
    <t>All except palmitic (mp 63°C)</t>
  </si>
  <si>
    <t>90% table rice - fast extraction OK</t>
  </si>
  <si>
    <t>FAT TYPES IN NUKA:</t>
  </si>
  <si>
    <t>• Oleic (38-44%, mp 13°C) - suppresses ester formation if not removed</t>
  </si>
  <si>
    <t>• Linoleic (28-35%, mp -5°C) - always mobile in cold water, extracts easily</t>
  </si>
  <si>
    <t>REFERENCE TABLE</t>
  </si>
  <si>
    <t>Polish %</t>
  </si>
  <si>
    <t>Soak time</t>
  </si>
  <si>
    <t>Target %</t>
  </si>
  <si>
    <t>Grade</t>
  </si>
  <si>
    <t>Critical window</t>
  </si>
  <si>
    <t>60-120</t>
  </si>
  <si>
    <t>30-32</t>
  </si>
  <si>
    <t>Futsu-shu</t>
  </si>
  <si>
    <t>Wide - forgiving</t>
  </si>
  <si>
    <t>40-60</t>
  </si>
  <si>
    <t>29-31</t>
  </si>
  <si>
    <t>Junmai</t>
  </si>
  <si>
    <t>Moderate</t>
  </si>
  <si>
    <t>20-40</t>
  </si>
  <si>
    <t>28-30</t>
  </si>
  <si>
    <t>Tokubetsu</t>
  </si>
  <si>
    <t>10-20</t>
  </si>
  <si>
    <t>26-28</t>
  </si>
  <si>
    <t>Ginjo</t>
  </si>
  <si>
    <t>1-3 min critical</t>
  </si>
  <si>
    <t>5-15</t>
  </si>
  <si>
    <t>24-26</t>
  </si>
  <si>
    <t>Daiginjo</t>
  </si>
  <si>
    <t>Seconds matter</t>
  </si>
  <si>
    <t>3-8</t>
  </si>
  <si>
    <t>22-24</t>
  </si>
  <si>
    <t>Competition</t>
  </si>
  <si>
    <t>Stopwatch + gentle handling</t>
  </si>
  <si>
    <t>1-5</t>
  </si>
  <si>
    <t>20-22</t>
  </si>
  <si>
    <t>Ultra-polish</t>
  </si>
  <si>
    <t>Extreme precision + fragile!</t>
  </si>
  <si>
    <t>SOAK TEST LOG</t>
  </si>
  <si>
    <t>Dry (g)</t>
  </si>
  <si>
    <t>Wet (g)</t>
  </si>
  <si>
    <t>Gain %</t>
  </si>
  <si>
    <t>Time (min)</t>
  </si>
  <si>
    <t>TOJI NOTES</t>
  </si>
  <si>
    <t>• Gentei kyusui: For ≤60% polish, soak in 10kg batches with stopwatch</t>
  </si>
  <si>
    <t>• Visual test: Place grains on dark plate, watch for opacity change</t>
  </si>
  <si>
    <t>• Cold water (8-12°C) provides wider timing window for high polish</t>
  </si>
  <si>
    <t>• Over-soaked rice = sticky, poor koji penetration</t>
  </si>
  <si>
    <t>• Under-soaked rice = hard center, incomplete steaming</t>
  </si>
  <si>
    <t>• Karashi rest allows water to diffuse from surface to center</t>
  </si>
  <si>
    <t>• CRACKING RISK: Keep water temp within 5°C of rice storage temp. Highly polished rice is fragile!</t>
  </si>
  <si>
    <t>Yeast Calculator</t>
  </si>
  <si>
    <t>Value</t>
  </si>
  <si>
    <t>Units</t>
  </si>
  <si>
    <t>Target volume for pitching (L)</t>
  </si>
  <si>
    <t>L</t>
  </si>
  <si>
    <t>Default: theoretical moromi volume from Recipe; override if needed.</t>
  </si>
  <si>
    <t>Pitch rate</t>
  </si>
  <si>
    <t>M cells/mL</t>
  </si>
  <si>
    <t>Million cells per mL; typical range 5–15.</t>
  </si>
  <si>
    <t>Dry yeast cells per g</t>
  </si>
  <si>
    <t>cells/g</t>
  </si>
  <si>
    <t>Check spec sheet for your yeast.</t>
  </si>
  <si>
    <t>Liquid yeast cells per mL</t>
  </si>
  <si>
    <t>cells/mL</t>
  </si>
  <si>
    <t>Assumed for liquid culture or pouch.</t>
  </si>
  <si>
    <t>Liquid yeast pouch volume</t>
  </si>
  <si>
    <t>mL</t>
  </si>
  <si>
    <t>Volume of one pouch or pack.</t>
  </si>
  <si>
    <t>CALCULATED OUTPUTS</t>
  </si>
  <si>
    <t>Total cells needed</t>
  </si>
  <si>
    <t>cells</t>
  </si>
  <si>
    <t>Volume (L) × 1000 mL/L × pitch rate (M/mL) × 1E6.</t>
  </si>
  <si>
    <t>Dry yeast needed</t>
  </si>
  <si>
    <t>g</t>
  </si>
  <si>
    <t>Total cells ÷ cells per gram.</t>
  </si>
  <si>
    <t>Liquid yeast volume</t>
  </si>
  <si>
    <t>Total cells ÷ cells per mL.</t>
  </si>
  <si>
    <t>Liquid yeast pouches</t>
  </si>
  <si>
    <t>pouches</t>
  </si>
  <si>
    <t>Liquid volume ÷ pouch volume; round as needed.</t>
  </si>
  <si>
    <t>NITROGEN ADJUSTMENT</t>
  </si>
  <si>
    <t>Vigor factor</t>
  </si>
  <si>
    <t>Adjusted pitch rate</t>
  </si>
  <si>
    <t>Adjusted cells needed</t>
  </si>
  <si>
    <t>Adjusted dry yeast (g)</t>
  </si>
  <si>
    <t>Adjustment reason</t>
  </si>
  <si>
    <t>NITROGEN GUIDANCE</t>
  </si>
  <si>
    <t>Rice seimaibuai</t>
  </si>
  <si>
    <t>Amino tendency</t>
  </si>
  <si>
    <t>Expected fermentation</t>
  </si>
  <si>
    <t>Note: Low-polish sake (90%+) paradoxically produces</t>
  </si>
  <si>
    <t>LOWER amino acidity because yeast uptake is 1.5x higher.</t>
  </si>
  <si>
    <t>Peak amino release occurs around 70-75% seimaibuai.</t>
  </si>
  <si>
    <t>Pasteurization Calculator</t>
  </si>
  <si>
    <t>Goal</t>
  </si>
  <si>
    <t>Select</t>
  </si>
  <si>
    <t>Package</t>
  </si>
  <si>
    <t>Method</t>
  </si>
  <si>
    <t>Pasteurization strategy</t>
  </si>
  <si>
    <t>Cooling</t>
  </si>
  <si>
    <t>Storage intent</t>
  </si>
  <si>
    <t>Storage temp</t>
  </si>
  <si>
    <t>Total bottles</t>
  </si>
  <si>
    <t>Bottles per batch</t>
  </si>
  <si>
    <t>Starting temp (C)</t>
  </si>
  <si>
    <t>YOUR PROCESS</t>
  </si>
  <si>
    <t>1. Heat to</t>
  </si>
  <si>
    <t>2. Hold</t>
  </si>
  <si>
    <t>3. Cool</t>
  </si>
  <si>
    <t>4. Batches needed</t>
  </si>
  <si>
    <t>5. Time per batch</t>
  </si>
  <si>
    <t>6. Total time</t>
  </si>
  <si>
    <t>STORAGE GUIDANCE</t>
  </si>
  <si>
    <t>7. Store at</t>
  </si>
  <si>
    <t>8. Duration</t>
  </si>
  <si>
    <t>9. Stability</t>
  </si>
  <si>
    <t>KILL STATUS</t>
  </si>
  <si>
    <t>Enzymes</t>
  </si>
  <si>
    <t>Hiochi bacteria</t>
  </si>
  <si>
    <t>WARNINGS</t>
  </si>
  <si>
    <t>REFERENCE</t>
  </si>
  <si>
    <t>PU FORMULA</t>
  </si>
  <si>
    <t>PU = t × 10^((T-60)/Z)</t>
  </si>
  <si>
    <t>Z = 6.94°C (thermal resistance)</t>
  </si>
  <si>
    <t>PU EQUIVALENTS</t>
  </si>
  <si>
    <t>Time/Temp</t>
  </si>
  <si>
    <t>PU</t>
  </si>
  <si>
    <t>28 min @ 50°C</t>
  </si>
  <si>
    <t>1 PU</t>
  </si>
  <si>
    <t>5 min @ 55°C</t>
  </si>
  <si>
    <t>1 min @ 60°C</t>
  </si>
  <si>
    <t>5 min @ 60°C</t>
  </si>
  <si>
    <t>5 PU</t>
  </si>
  <si>
    <t>5 min @ 65°C</t>
  </si>
  <si>
    <t>26.3 PU</t>
  </si>
  <si>
    <t>20 min @ 65°C (traditional)</t>
  </si>
  <si>
    <t>105 PU (overkill)</t>
  </si>
  <si>
    <t>PU TARGETS</t>
  </si>
  <si>
    <t>~5 PU: Minimum for &gt;12% ABV</t>
  </si>
  <si>
    <t>~14 PU: Hiochi kill at 13% ABV</t>
  </si>
  <si>
    <t>105 PU: Traditional (overkill)</t>
  </si>
  <si>
    <t>ALCOHOL &amp; pH EFFECTS</t>
  </si>
  <si>
    <t>Alcohol: Massive additive effect on lethality</t>
  </si>
  <si>
    <t>pH &lt;4.1: Much less survivable for pathogens</t>
  </si>
  <si>
    <t>Higher ABV = less heat/time needed</t>
  </si>
  <si>
    <t>pH &lt;4.1: Reduced PU requirements</t>
  </si>
  <si>
    <t>THERMAL DEATH (Hirai 1962)</t>
  </si>
  <si>
    <t>Temp/Time</t>
  </si>
  <si>
    <t>50-55°C</t>
  </si>
  <si>
    <t>65°C</t>
  </si>
  <si>
    <t>Hiochi (at 13% ABV)</t>
  </si>
  <si>
    <t>70°C / 30 sec (~14 PU)</t>
  </si>
  <si>
    <t>METHODS: LTLT vs HTST</t>
  </si>
  <si>
    <t>LTLT: 65°C / 20 min (traditional, 105 PU)</t>
  </si>
  <si>
    <t>HTST: 72°C / 15 sec (modern, ~14 PU)</t>
  </si>
  <si>
    <t>NIGORI / SOLIDS WARNING</t>
  </si>
  <si>
    <t>Rice solids = higher heat capacity</t>
  </si>
  <si>
    <t>Cold spots possible - extend time</t>
  </si>
  <si>
    <t>SPORE WARNING</t>
  </si>
  <si>
    <t>Spores more resistant than mature organisms</t>
  </si>
  <si>
    <t>Under-pasteurized = time-bomb risk</t>
  </si>
  <si>
    <t>FLAVOR &amp; AROMA CHANGES</t>
  </si>
  <si>
    <t>Increases</t>
  </si>
  <si>
    <t>Decreases</t>
  </si>
  <si>
    <t>Aldehyde, caramel, honey</t>
  </si>
  <si>
    <t>Ginjo scent, fruit, esters</t>
  </si>
  <si>
    <t>Bitter, smooth</t>
  </si>
  <si>
    <t>Astringency, roughness</t>
  </si>
  <si>
    <t>COMMERCIAL NOTE</t>
  </si>
  <si>
    <t>Commercial: May need Process Authority Letter</t>
  </si>
  <si>
    <t>SOURCES</t>
  </si>
  <si>
    <t>BrewSake.org/pasteurization</t>
  </si>
  <si>
    <t>Hirai et al. 1962 - JBSJ 57(9)</t>
  </si>
  <si>
    <t>Tamonin Nikki 1570 (多聞院日記)</t>
  </si>
  <si>
    <t>TROUBLESHOOTING</t>
  </si>
  <si>
    <t>Common problems, causes, and solutions for koji-based fermentation</t>
  </si>
  <si>
    <t>Problem</t>
  </si>
  <si>
    <t>Likely Cause</t>
  </si>
  <si>
    <t>Solution</t>
  </si>
  <si>
    <t>KOJI PROBLEMS</t>
  </si>
  <si>
    <t>No visible growth after 24 hrs</t>
  </si>
  <si>
    <t>Temperature too low (&lt;28°C), dead spores, sterilized environment, rice too dry</t>
  </si>
  <si>
    <t>Ensure 30-32°C, use fresh tane-koji, don't over-sanitize muro, check rice moisture 38%</t>
  </si>
  <si>
    <t>Nuri-haze (surface only, no penetration)</t>
  </si>
  <si>
    <t>Rice surface too wet, hard center from undersoaking. Fungi get moisture from surface, no drive to penetrate.</t>
  </si>
  <si>
    <t>Proper soaking (28-30% absorption), cool rice to reduce surface moisture before inoculation, target 38% total moisture</t>
  </si>
  <si>
    <t>Baka-haze (deep growth, low enzyme)</t>
  </si>
  <si>
    <t>Excessive moisture triggers glucose effect. High glucose suppresses enzyme genes via feedback inhibition.</t>
  </si>
  <si>
    <t>Reduce moisture, don't over-soak, ensure proper steaming. Rice should not squash easily.</t>
  </si>
  <si>
    <t>Haze-ochi (sparse/no growth)</t>
  </si>
  <si>
    <t>Too cool, too dry, contamination, poor spore quality, bad hygiene</t>
  </si>
  <si>
    <t>Check temps 30-35°C, humidity 80%+, use fresh spores, clean equipment</t>
  </si>
  <si>
    <t>Green/black spores appearing</t>
  </si>
  <si>
    <t>Koji sporulating - went too long or too hot. Indicates over-maturity.</t>
  </si>
  <si>
    <t>Harvest earlier (before 48hrs for most methods), keep peak temp under 42°C</t>
  </si>
  <si>
    <t>Ammonia smell</t>
  </si>
  <si>
    <t>Excessive protein breakdown from high protease activity, often from over-fermentation or contamination</t>
  </si>
  <si>
    <t>Shorter incubation, lower temps, ensure clean environment</t>
  </si>
  <si>
    <t>Sour/vinegar smell in koji</t>
  </si>
  <si>
    <t>Bacterial contamination (Acetobacter or LAB)</t>
  </si>
  <si>
    <t>Improve sanitation, check water source, ensure proper temp (bacteria slower at higher koji temps)</t>
  </si>
  <si>
    <t>MOTO (YEAST STARTER) PROBLEMS</t>
  </si>
  <si>
    <t>No fermentation activity</t>
  </si>
  <si>
    <t>Dead yeast, too cold (&lt;10°C), too much lactic acid, nutrient deficiency (phosphate)</t>
  </si>
  <si>
    <t>Fresh yeast, warm to 15-20°C, check lactic acid dose (650-700mL/100L), add yeast nutrient</t>
  </si>
  <si>
    <t>Stuck fermentation</t>
  </si>
  <si>
    <t>Temperature shock, nutrient deficiency (esp. phosphate &lt;250mg/L), excessive alcohol</t>
  </si>
  <si>
    <t>Maintain stable temps, add phosphate/nutrients, ensure moto doesn't exceed 15% ABV</t>
  </si>
  <si>
    <t>Over-acidification (kimoto/yamahai)</t>
  </si>
  <si>
    <t>LAB dominated too long, temperature stayed in LAB-optimal range (20-30°C)</t>
  </si>
  <si>
    <t>Move to warmer temps (35°C+) to kill LAB and favor yeast, or restart</t>
  </si>
  <si>
    <t>Contamination (film/off-odor)</t>
  </si>
  <si>
    <t>Wild yeast, bacteria from equipment or air, insufficient acidity</t>
  </si>
  <si>
    <t>Better sanitation, ensure pH drops to 4.0 or below, consider sokujo method</t>
  </si>
  <si>
    <t>Slow start (kimoto/yamahai)</t>
  </si>
  <si>
    <t>Normal - traditional methods take 3-4 weeks. Not a problem unless off-odors develop.</t>
  </si>
  <si>
    <t>Patience. Monitor for contamination but don't rush. Natural LAB takes time.</t>
  </si>
  <si>
    <t>MOROMI (MAIN FERMENTATION) PROBLEMS</t>
  </si>
  <si>
    <t>Fermentation too fast/hot</t>
  </si>
  <si>
    <t>Temperature too high, too much koji, hard water accelerating yeast</t>
  </si>
  <si>
    <t>Cool to 10-15°C (ginjo) or 15-18°C (junmai). Reduce koji ratio. Consider softer water.</t>
  </si>
  <si>
    <t>Fermentation too slow</t>
  </si>
  <si>
    <t>Too cold, weak yeast, soft water, insufficient nutrients</t>
  </si>
  <si>
    <t>Warm slightly, ensure healthy moto, add minerals to moto water, check koji quality</t>
  </si>
  <si>
    <t>Stuck at low alcohol (12-14%)</t>
  </si>
  <si>
    <t>Weak yeast, nutrient deficiency, osmotic stress from high sugar</t>
  </si>
  <si>
    <t>Use alcohol-tolerant yeast (Kyokai #7, #9), ensure adequate nutrients, proper sandan-jikomi staging</t>
  </si>
  <si>
    <t>Foaming overflow</t>
  </si>
  <si>
    <t>Vigorous fermentation, foam-positive yeast strain</t>
  </si>
  <si>
    <t>Use foam-negative yeast, larger vessel, add rice bran (nuka) to break foam, lower temperature</t>
  </si>
  <si>
    <t>Off-flavors developing</t>
  </si>
  <si>
    <t>Contamination, autolysis (yeast death), oxidation, high ferment temp</t>
  </si>
  <si>
    <t>Check sanitation, don't over-extend ferment, minimize oxygen exposure, control temperature</t>
  </si>
  <si>
    <t>Film on surface (hiochi)</t>
  </si>
  <si>
    <t>Hiochi bacteria - sake-spoiling LAB that survives alcohol</t>
  </si>
  <si>
    <t>Pasteurize immediately, improve sanitation for next batch, lower pH</t>
  </si>
  <si>
    <t>WATER PROBLEMS</t>
  </si>
  <si>
    <t>Red/brown discoloration</t>
  </si>
  <si>
    <t>Iron &gt;0.02 ppm binding with koji compounds to form colored complexes</t>
  </si>
  <si>
    <t>Filter water with activated carbon, use iron-free source, aerate then filter</t>
  </si>
  <si>
    <t>Light-struck off-flavors</t>
  </si>
  <si>
    <t>Manganese &gt;0.02 ppm catalyzing photo-oxidation under UV/light exposure</t>
  </si>
  <si>
    <t>Remove Mn from water, store sake in dark, use brown/UV-blocking bottles</t>
  </si>
  <si>
    <t>Harsh/mineral taste</t>
  </si>
  <si>
    <t>Excessive hardness, high sulfate, high chloride</t>
  </si>
  <si>
    <t>Dilute with soft water, use RO/distilled for warimizu, match water to style</t>
  </si>
  <si>
    <t>Thin/weak fermentation</t>
  </si>
  <si>
    <t>Water too soft, lacking K/Mg/P for yeast health</t>
  </si>
  <si>
    <t>Add minerals to moto water: KCl, MgSO4, yeast nutrient. See Water Calc sheet.</t>
  </si>
  <si>
    <t>FINISHED SAKE PROBLEMS</t>
  </si>
  <si>
    <t>Too sweet (high nihonshudo negative)</t>
  </si>
  <si>
    <t>Incomplete fermentation, too much residual sugar, weak koji enzymes</t>
  </si>
  <si>
    <t>Extend fermentation, use stronger koji, higher ferment temp, more active yeast</t>
  </si>
  <si>
    <t>Too dry/harsh</t>
  </si>
  <si>
    <t>Over-fermentation, high amino acidity, excessive alcohol</t>
  </si>
  <si>
    <t>Shorten ferment, use less protease-active koji, blend with sweeter sake</t>
  </si>
  <si>
    <t>High amino acidity (heavy/rough)</t>
  </si>
  <si>
    <t>Excessive protein breakdown, low polish ratio with high yeast, wrong koji type</t>
  </si>
  <si>
    <t>Higher polish, tsuki-haze koji, cooler ferment to reduce amino production</t>
  </si>
  <si>
    <t>Lacks aroma (no ginjo-ka)</t>
  </si>
  <si>
    <t>Ferment too warm (drives off esters), wrong yeast, sou-haze koji</t>
  </si>
  <si>
    <t>Lower ferment to 10-12°C, use aromatic yeast (#9, #1801), tsuki-haze koji, high polish</t>
  </si>
  <si>
    <t>Sulfur/rotten egg smell</t>
  </si>
  <si>
    <t>Yeast stress producing H2S, or contamination</t>
  </si>
  <si>
    <t>Better yeast nutrition, avoid temperature swings, aerate briefly (racking)</t>
  </si>
  <si>
    <t>Oxidized/sherry-like</t>
  </si>
  <si>
    <t>Oxygen exposure during storage, incomplete pasteurization</t>
  </si>
  <si>
    <t>Minimize headspace, proper pasteurization, store cold and dark</t>
  </si>
  <si>
    <t>Hazy/cloudy (unwanted)</t>
  </si>
  <si>
    <t>Protein/starch haze, incomplete pressing, bacterial contamination</t>
  </si>
  <si>
    <t>Fine filtration, bentonite fining, pasteurize to precipitate proteins</t>
  </si>
  <si>
    <t>OTHER KOJI FERMENTS</t>
  </si>
  <si>
    <t>Miso too salty</t>
  </si>
  <si>
    <t>Salt ratio too high, insufficient fermentation time</t>
  </si>
  <si>
    <t>Use 10-12% salt (not 13%+), extend aging 6+ months for salt to mellow</t>
  </si>
  <si>
    <t>Miso darkening too fast</t>
  </si>
  <si>
    <t>High temperature storage, high moisture, air exposure (Maillard reaction)</t>
  </si>
  <si>
    <t>Store cool, ensure proper tamari layer forms, minimize air contact</t>
  </si>
  <si>
    <t>Shio koji not sweet</t>
  </si>
  <si>
    <t>Insufficient koji enzyme activity, too much salt inhibiting enzymes, too cold</t>
  </si>
  <si>
    <t>Use quality koji, keep salt 12-13%, ferment at 20-25°C, massage daily</t>
  </si>
  <si>
    <t>Amazake too thin</t>
  </si>
  <si>
    <t>Koji weak, temperature dropped below 55°C (enzymes inactive), too much water</t>
  </si>
  <si>
    <t>Use fresh active koji, maintain 55-60°C strictly, use less water (60% not more)</t>
  </si>
  <si>
    <t>Shoyu not developing umami</t>
  </si>
  <si>
    <t>Insufficient aging, wrong koji (need protease-rich), temperature too low</t>
  </si>
  <si>
    <t>Age 12-18 months minimum, use soy koji or long-incubated rice koji, summer heat helps</t>
  </si>
  <si>
    <t>Vinegar not acidifying</t>
  </si>
  <si>
    <t>No acetobacter culture, alcohol too high (&gt;7%), insufficient oxygen</t>
  </si>
  <si>
    <t>Add mother/seed vinegar, dilute to 5-7% ABV, ensure aerobic surface exposure</t>
  </si>
  <si>
    <t>WHEN TO DISCARD</t>
  </si>
  <si>
    <t>⚠️ DISCARD IF:</t>
  </si>
  <si>
    <t>• Black, pink, or orange mold (not green/white koji)</t>
  </si>
  <si>
    <t>• Putrid, fecal, or strongly ammonia smell</t>
  </si>
  <si>
    <t>• Slimy texture not from normal fermentation</t>
  </si>
  <si>
    <t>• Visible insects or rodent contamination</t>
  </si>
  <si>
    <t>• Unknown contamination you cannot identify</t>
  </si>
  <si>
    <t>When in doubt, throw it out. No batch is worth a foodborne illness.</t>
  </si>
  <si>
    <t>Totals</t>
  </si>
  <si>
    <t>Rice kg</t>
  </si>
  <si>
    <t>Koji kg</t>
  </si>
  <si>
    <t>Water L</t>
  </si>
  <si>
    <t>Mash mass (kg actual)</t>
  </si>
  <si>
    <t>Theoretical volume L</t>
  </si>
  <si>
    <t>Diluted yield (L) @15%</t>
  </si>
  <si>
    <t>Moromi (excl moto)</t>
  </si>
  <si>
    <t>Yon</t>
  </si>
  <si>
    <t>Koji sizing (Ueda)</t>
  </si>
  <si>
    <t>Dry koji required (kg dry)</t>
  </si>
  <si>
    <t>Steamed weight (kg post‑steam)</t>
  </si>
  <si>
    <t>Pre‑inoc weight (kg pre‑inoc)</t>
  </si>
  <si>
    <t>Moto rice breakdown</t>
  </si>
  <si>
    <t>Moto kakemai (kg dry)</t>
  </si>
  <si>
    <t>NITROGEN PROFILE</t>
  </si>
  <si>
    <t>Crude protein (%)</t>
  </si>
  <si>
    <t>Digestible fraction (G/TP)</t>
  </si>
  <si>
    <t>Locked fraction (P/TP)</t>
  </si>
  <si>
    <t>G/P ratio</t>
  </si>
  <si>
    <t>AMINO TENDENCY</t>
  </si>
  <si>
    <t>Seimaibuai factor</t>
  </si>
  <si>
    <t>Amino tendency score</t>
  </si>
  <si>
    <t>FERMENTATION VIGOR</t>
  </si>
  <si>
    <t>Vigor level</t>
  </si>
  <si>
    <t>Vigor warning</t>
  </si>
  <si>
    <t>CHART DATA</t>
  </si>
  <si>
    <t>Raw Rice</t>
  </si>
  <si>
    <t>PER-STAGE NITROGEN</t>
  </si>
  <si>
    <t>Protein %</t>
  </si>
  <si>
    <t>N input (g)</t>
  </si>
  <si>
    <t>Yeast uptake factor</t>
  </si>
  <si>
    <t>Net N (g)</t>
  </si>
  <si>
    <t>TOTAL</t>
  </si>
  <si>
    <t>AMINO ACIDITY MODEL (Simplified Iemura)</t>
  </si>
  <si>
    <t>Total protein input (g)</t>
  </si>
  <si>
    <t>Weighted avg polish (%)</t>
  </si>
  <si>
    <t>Protein dissolved (g)</t>
  </si>
  <si>
    <t>Yeast uptake (g)</t>
  </si>
  <si>
    <t>Uptake %</t>
  </si>
  <si>
    <t>Residual N (g)</t>
  </si>
  <si>
    <t>Expected volume (L)</t>
  </si>
  <si>
    <t>Preset name</t>
  </si>
  <si>
    <t>Baseline index</t>
  </si>
  <si>
    <t>Koji fraction</t>
  </si>
  <si>
    <t>Water L/kg</t>
  </si>
  <si>
    <t>Moto % of total</t>
  </si>
  <si>
    <t>Soe %</t>
  </si>
  <si>
    <t>Naka %</t>
  </si>
  <si>
    <t>Tome %</t>
  </si>
  <si>
    <t>Yon %</t>
  </si>
  <si>
    <t>Koji Soe %</t>
  </si>
  <si>
    <t>Koji Naka %</t>
  </si>
  <si>
    <t>Koji Tome %</t>
  </si>
  <si>
    <t>Koji Yon %</t>
  </si>
  <si>
    <t>Water Tome</t>
  </si>
  <si>
    <t>Moto Koji %</t>
  </si>
  <si>
    <t>Moto Water %</t>
  </si>
  <si>
    <t>Moto Raw Rice %</t>
  </si>
  <si>
    <t>Water Soe %</t>
  </si>
  <si>
    <t>Water Naka %</t>
  </si>
  <si>
    <t>Water Yon %</t>
  </si>
  <si>
    <t>Seimaibuai</t>
  </si>
  <si>
    <t>Rice variety</t>
  </si>
  <si>
    <t>Crude protein %</t>
  </si>
  <si>
    <t>G/TP ratio</t>
  </si>
  <si>
    <t>P/TP ratio</t>
  </si>
  <si>
    <t>Koji mold type</t>
  </si>
  <si>
    <t>Citric factor</t>
  </si>
  <si>
    <t>Press efficiency</t>
  </si>
  <si>
    <t>Name</t>
  </si>
  <si>
    <t>KojiPct</t>
  </si>
  <si>
    <t>WaterLkg</t>
  </si>
  <si>
    <t>RiceSoe</t>
  </si>
  <si>
    <t>RiceNaka</t>
  </si>
  <si>
    <t>RiceTome</t>
  </si>
  <si>
    <t>RiceYon</t>
  </si>
  <si>
    <t>KojiSoe</t>
  </si>
  <si>
    <t>KojiNaka</t>
  </si>
  <si>
    <t>KojiTome</t>
  </si>
  <si>
    <t>KojiYon</t>
  </si>
  <si>
    <t>WaterSoe</t>
  </si>
  <si>
    <t>WaterNaka</t>
  </si>
  <si>
    <t>WaterTome</t>
  </si>
  <si>
    <t>WaterYon</t>
  </si>
  <si>
    <t>MotoPct</t>
  </si>
  <si>
    <t>MotoKojiPct</t>
  </si>
  <si>
    <t>MotoWaterPct</t>
  </si>
  <si>
    <t>MotoRawRicePct</t>
  </si>
  <si>
    <t>LotA_Variety</t>
  </si>
  <si>
    <t>LotA_Polish</t>
  </si>
  <si>
    <t>LotB_Variety</t>
  </si>
  <si>
    <t>LotB_Polish</t>
  </si>
  <si>
    <t>Koji_Lot</t>
  </si>
  <si>
    <t>MotoRaw_Lot</t>
  </si>
  <si>
    <t>MotoStm_Lot</t>
  </si>
  <si>
    <t>Soe_Lot</t>
  </si>
  <si>
    <t>Naka_Lot</t>
  </si>
  <si>
    <t>Tome_Lot</t>
  </si>
  <si>
    <t>Yon_Lot</t>
  </si>
  <si>
    <t>Custom</t>
  </si>
  <si>
    <t>Standard_NRIB</t>
  </si>
  <si>
    <t>Generic</t>
  </si>
  <si>
    <t>Gohyakumangoku</t>
  </si>
  <si>
    <t>Yamadanishiki</t>
  </si>
  <si>
    <t>Junmai_Ginjo</t>
  </si>
  <si>
    <t>Junmai_Daiginjo</t>
  </si>
  <si>
    <t>Honjozo</t>
  </si>
  <si>
    <t>Gauntner_Standard</t>
  </si>
  <si>
    <t>Nihonshu_2300</t>
  </si>
  <si>
    <t>Textbook</t>
  </si>
  <si>
    <t>Sokujo</t>
  </si>
  <si>
    <t>Kimoto</t>
  </si>
  <si>
    <t>Yamahai</t>
  </si>
  <si>
    <t>Nigori</t>
  </si>
  <si>
    <t>Genshu</t>
  </si>
  <si>
    <t>Nama</t>
  </si>
  <si>
    <t>Sparkling</t>
  </si>
  <si>
    <t>Rich_Body</t>
  </si>
  <si>
    <t>Light_Body</t>
  </si>
  <si>
    <t>Homebrew_20pct</t>
  </si>
  <si>
    <t>Homebrew_25pct</t>
  </si>
  <si>
    <t>Homebrew_33pct</t>
  </si>
  <si>
    <t>Kijoshu</t>
  </si>
  <si>
    <t>Low_ABV</t>
  </si>
  <si>
    <t>Koon_Toka</t>
  </si>
  <si>
    <t>Test: Bodaimoto_Historical</t>
  </si>
  <si>
    <t>Test: Bodaimoto_Nara</t>
  </si>
  <si>
    <t>Test: Mizumoto_Hanatomoe</t>
  </si>
  <si>
    <t>Test: Ginjo_Aomori</t>
  </si>
  <si>
    <t>Test: Tokubetsu_Junmai</t>
  </si>
  <si>
    <t>Test: Yamahai_Tamba</t>
  </si>
  <si>
    <t>Experimental: High_Koji_40pct</t>
  </si>
  <si>
    <t>Experimental: All_Koji_100pct</t>
  </si>
  <si>
    <t>Test: Tokyo_1878_Process1</t>
  </si>
  <si>
    <t>Test: Tokyo_1878_Process2</t>
  </si>
  <si>
    <t>Test: Hachioji_1878</t>
  </si>
  <si>
    <t>Yondan_Rice</t>
  </si>
  <si>
    <t>Yondan_Sweet</t>
  </si>
  <si>
    <t>Bodaimoto_Yondan</t>
  </si>
  <si>
    <t>Constant</t>
  </si>
  <si>
    <t>Toji notes</t>
  </si>
  <si>
    <t>Mash density (kg/L)</t>
  </si>
  <si>
    <t>Mass/volume for moromi</t>
  </si>
  <si>
    <t>Good starting density; expect moromi to lighten over time. Adjust if Brix/ABV profile drifts.</t>
  </si>
  <si>
    <t>Fune yield fraction</t>
  </si>
  <si>
    <t>Middle-of-the-road press yield. Track actual fune results by rice, polish, and pressure, then tune.</t>
  </si>
  <si>
    <t>Headspace factor</t>
  </si>
  <si>
    <t>1.30 = 30% headspace</t>
  </si>
  <si>
    <t>30% headspace is safe for kimoto/mizumoto and high-foam yeast. Only reduce if foam is clearly under control.</t>
  </si>
  <si>
    <t>Tank volume (L)</t>
  </si>
  <si>
    <t>Working volume input on Recipe</t>
  </si>
  <si>
    <t>Default tank used for examples; normally choose tank size per batch on Recipe, not by changing this constant.</t>
  </si>
  <si>
    <t>Ueda post-steam moisture</t>
  </si>
  <si>
    <t>Textbook post-steam moisture; confirm by feel and scale for each rice lot rather than trusting only this number.</t>
  </si>
  <si>
    <t>Ueda pre-inoc moisture</t>
  </si>
  <si>
    <t>Standard pre-inoc dryness. If koji runs too hot, lower this; if it stalls, allow slightly higher moisture.</t>
  </si>
  <si>
    <t>Tray capacity pre-inoc (kg)</t>
  </si>
  <si>
    <t>Max per tray at shallow bed depth</t>
  </si>
  <si>
    <t>Max steamed rice per tray at shallow bed depth. Reduce load if trays feel hot or uneven in the center.</t>
  </si>
  <si>
    <t>Amazake pass threshold (°Bé)</t>
  </si>
  <si>
    <t>Minimum enzyme strength target. Still pass judgment by aroma and flavor, not °Bé alone.</t>
  </si>
  <si>
    <t>Yeast pitch rate (M cells/mL)</t>
  </si>
  <si>
    <t>Modern sokujo pitch rate. For kimoto/mizumoto, prioritize moto health and progression over exact counts.</t>
  </si>
  <si>
    <t>Based on typical dried yeast specs. Override with supplier’s data if they publish cell counts.</t>
  </si>
  <si>
    <t>Generic liquid culture density; use lab or supplier numbers when available.</t>
  </si>
  <si>
    <t>Liquid yeast pouch volume (mL)</t>
  </si>
  <si>
    <t>Default pouch volume; set to your actual packaging or lab flask size.</t>
  </si>
  <si>
    <t>Moto % of total rice (default)</t>
  </si>
  <si>
    <t>Traditional moto is 6-8% of total rice</t>
  </si>
  <si>
    <t>Use preset-specific values from Baselines; this is fallback only.</t>
  </si>
  <si>
    <t>Bodaimoto raw rice ratio</t>
  </si>
  <si>
    <t>Raw rice as % of moto rice for bodaimoto</t>
  </si>
  <si>
    <t>Traditional Nara bodaimoto uses 70% raw rice; adjust per brewery method.</t>
  </si>
  <si>
    <t>Dekoji buai</t>
  </si>
  <si>
    <t>Finished koji weight gain (16% typical, range 14-17%)</t>
  </si>
  <si>
    <t>NRIB yield (L/kg)</t>
  </si>
  <si>
    <t>Genshu ABV (%)</t>
  </si>
  <si>
    <t>Moto Type</t>
  </si>
  <si>
    <t>Description</t>
  </si>
  <si>
    <t>Moto % of Total</t>
  </si>
  <si>
    <t>Koji % of Moto</t>
  </si>
  <si>
    <t>Water % of Moto</t>
  </si>
  <si>
    <t>Raw Rice %</t>
  </si>
  <si>
    <t>Steamed Rice %</t>
  </si>
  <si>
    <t>Lactic Source</t>
  </si>
  <si>
    <t>Days</t>
  </si>
  <si>
    <t>Fast method - lactic acid added at start</t>
  </si>
  <si>
    <t>Added lactic acid</t>
  </si>
  <si>
    <t>7-10</t>
  </si>
  <si>
    <t>Modern standard; clean, efficient</t>
  </si>
  <si>
    <t>Traditional with yamaoroshi pole mashing</t>
  </si>
  <si>
    <t>Natural LAB</t>
  </si>
  <si>
    <t>25-30</t>
  </si>
  <si>
    <t>Labor intensive; rich umami, higher acid</t>
  </si>
  <si>
    <t>Traditional without yamaoroshi</t>
  </si>
  <si>
    <t>Simpler than kimoto; gamey, complex</t>
  </si>
  <si>
    <t>Bodaimoto (Nara)</t>
  </si>
  <si>
    <t>Ancient method with raw rice soyashi</t>
  </si>
  <si>
    <t>Soyashi mizu (LAB)</t>
  </si>
  <si>
    <t>14-21</t>
  </si>
  <si>
    <t>Raw rice creates acidic water first</t>
  </si>
  <si>
    <t>Mizumoto (Okayama)</t>
  </si>
  <si>
    <t>Variant using koji for soyashi</t>
  </si>
  <si>
    <t>Koji soyashi</t>
  </si>
  <si>
    <t>Uses koji instead of raw rice for soyashi</t>
  </si>
  <si>
    <t>Kō-on Tōka</t>
  </si>
  <si>
    <t>High-temp saccharification variant</t>
  </si>
  <si>
    <t>Added + heat</t>
  </si>
  <si>
    <t>55°C saccharification before cooling</t>
  </si>
  <si>
    <t>Short Kimoto</t>
  </si>
  <si>
    <t>Accelerated kimoto-style</t>
  </si>
  <si>
    <t>14-18</t>
  </si>
  <si>
    <t>Faster than traditional; compromise style</t>
  </si>
  <si>
    <t>Yogurt Sokujo</t>
  </si>
  <si>
    <t>Yogurt-based lactic starter</t>
  </si>
  <si>
    <t>Yogurt LAB</t>
  </si>
  <si>
    <t>10-14</t>
  </si>
  <si>
    <t>Modern homebrew adaptation</t>
  </si>
  <si>
    <t>1878 Tokyo</t>
  </si>
  <si>
    <t>Historical Tokyo brewery method</t>
  </si>
  <si>
    <t>18-25</t>
  </si>
  <si>
    <t>From 1878 Manufacture of Sake</t>
  </si>
  <si>
    <t>1878 Nagareyama</t>
  </si>
  <si>
    <t>Historical high-moto method</t>
  </si>
  <si>
    <t>Highest moto% in 1878 records</t>
  </si>
  <si>
    <t>Usage Notes:</t>
  </si>
  <si>
    <t>• Raw Rice % + Steamed Rice % should equal 100% for bodaimoto types</t>
  </si>
  <si>
    <t>• For standard methods (Sokujo, Kimoto, Yamahai), Raw Rice = 0%, Steamed Rice = 100%</t>
  </si>
  <si>
    <t>• Koji % refers to koji as percentage of total moto rice weight</t>
  </si>
  <si>
    <t>• Water % refers to water as percentage of total moto rice weight</t>
  </si>
  <si>
    <t>• These values are reference defaults; adjust per your recipe/preset in Baselines</t>
  </si>
  <si>
    <t>Bodaimoto</t>
  </si>
  <si>
    <t>Ancient Nara method, raw rice soyashimizu</t>
  </si>
  <si>
    <t>Natural</t>
  </si>
  <si>
    <t>Traditional lactobacillus fermentation</t>
  </si>
  <si>
    <t>Mizumoto</t>
  </si>
  <si>
    <t>600+ year ancient method</t>
  </si>
  <si>
    <t>Ultra-traditional wild fermentation</t>
  </si>
  <si>
    <t>5-7</t>
  </si>
  <si>
    <t>Doburoku (No Moto)</t>
  </si>
  <si>
    <t>All ingredients at once, no starter</t>
  </si>
  <si>
    <t>Added lactic</t>
  </si>
  <si>
    <t>Direct Pitch</t>
  </si>
  <si>
    <t>No moto, yeast direct to moromi</t>
  </si>
  <si>
    <t>0</t>
  </si>
  <si>
    <t>MotoTypes</t>
  </si>
  <si>
    <t>KojiStrains</t>
  </si>
  <si>
    <t>KojiMoldType</t>
  </si>
  <si>
    <t>MotoTypeKey</t>
  </si>
  <si>
    <t>MotoDescription</t>
  </si>
  <si>
    <t>AcidTypes</t>
  </si>
  <si>
    <t>Concentration</t>
  </si>
  <si>
    <t>mL per 100L water</t>
  </si>
  <si>
    <t>KojiStyles</t>
  </si>
  <si>
    <t>LiquidYeastCells</t>
  </si>
  <si>
    <t>Vessels</t>
  </si>
  <si>
    <t>Liters</t>
  </si>
  <si>
    <t>RiceVarieties</t>
  </si>
  <si>
    <t>RiceVariety</t>
  </si>
  <si>
    <t>G_TP</t>
  </si>
  <si>
    <t>P_TP</t>
  </si>
  <si>
    <t>G_P</t>
  </si>
  <si>
    <t>CrudeProtein90</t>
  </si>
  <si>
    <t>Digestibility</t>
  </si>
  <si>
    <t>CitricFactor</t>
  </si>
  <si>
    <t>KojiMoldDesc</t>
  </si>
  <si>
    <t>WaterProfile</t>
  </si>
  <si>
    <t>Ca</t>
  </si>
  <si>
    <t>Mg</t>
  </si>
  <si>
    <t>PastGoal</t>
  </si>
  <si>
    <t>PastPackage</t>
  </si>
  <si>
    <t>PastMethod</t>
  </si>
  <si>
    <t>PastCooling</t>
  </si>
  <si>
    <t>HiireStrategy</t>
  </si>
  <si>
    <t>StorageIntent</t>
  </si>
  <si>
    <t>StorageTemp</t>
  </si>
  <si>
    <t>SrcK</t>
  </si>
  <si>
    <t>SrcNa</t>
  </si>
  <si>
    <t>SrcCl</t>
  </si>
  <si>
    <t>SrcSO4</t>
  </si>
  <si>
    <t>SrcPO4</t>
  </si>
  <si>
    <t>SrcHardness</t>
  </si>
  <si>
    <t>SrcFe</t>
  </si>
  <si>
    <t>SrcMn</t>
  </si>
  <si>
    <t>SrcpH</t>
  </si>
  <si>
    <t>ChamberTemp</t>
  </si>
  <si>
    <t>KirikaeshiHr</t>
  </si>
  <si>
    <t>MoriHr</t>
  </si>
  <si>
    <t>NakaHr</t>
  </si>
  <si>
    <t>ShimaiHr</t>
  </si>
  <si>
    <t>DekojiHr</t>
  </si>
  <si>
    <t>Step#</t>
  </si>
  <si>
    <t>Futa_Step</t>
  </si>
  <si>
    <t>Futa_Hours</t>
  </si>
  <si>
    <t>Futa_Temp</t>
  </si>
  <si>
    <t>Futa_Target</t>
  </si>
  <si>
    <t>Futa_WeightCalc</t>
  </si>
  <si>
    <t>Hako_Step</t>
  </si>
  <si>
    <t>Hako_Hours</t>
  </si>
  <si>
    <t>Hako_Temp</t>
  </si>
  <si>
    <t>Hako_Target</t>
  </si>
  <si>
    <t>Hako_WeightCalc</t>
  </si>
  <si>
    <t>Ueda_Step</t>
  </si>
  <si>
    <t>Ueda_Hours</t>
  </si>
  <si>
    <t>Ueda_Temp</t>
  </si>
  <si>
    <t>Ueda_Target</t>
  </si>
  <si>
    <t>Ueda_WeightCalc</t>
  </si>
  <si>
    <t>Machine_Step</t>
  </si>
  <si>
    <t>Machine_Hours</t>
  </si>
  <si>
    <t>Machine_Temp</t>
  </si>
  <si>
    <t>Machine_Target</t>
  </si>
  <si>
    <t>Machine_WeightCalc</t>
  </si>
  <si>
    <t>MethodMap</t>
  </si>
  <si>
    <t>StepCol</t>
  </si>
  <si>
    <t>HourCol</t>
  </si>
  <si>
    <t>TempCol</t>
  </si>
  <si>
    <t>TargetCol</t>
  </si>
  <si>
    <t>WeightCol</t>
  </si>
  <si>
    <t>Press Method</t>
  </si>
  <si>
    <t>Efficiency</t>
  </si>
  <si>
    <t>MotoMethodMap</t>
  </si>
  <si>
    <t>pHCol</t>
  </si>
  <si>
    <t>MoromiMethodMap</t>
  </si>
  <si>
    <t>TimeCol</t>
  </si>
  <si>
    <t>FoamCol</t>
  </si>
  <si>
    <t>PolishRatios</t>
  </si>
  <si>
    <t>Wash rice</t>
  </si>
  <si>
    <t>Ambient</t>
  </si>
  <si>
    <t>Remove bran</t>
  </si>
  <si>
    <t>Mix ingredients</t>
  </si>
  <si>
    <t>Start</t>
  </si>
  <si>
    <t>12°C</t>
  </si>
  <si>
    <t>6.0-6.5</t>
  </si>
  <si>
    <t>Combine koji, rice, water, acid</t>
  </si>
  <si>
    <t>Temoto (pre-mix)</t>
  </si>
  <si>
    <t>5-6°C</t>
  </si>
  <si>
    <t>Divide into hangiri tubs</t>
  </si>
  <si>
    <t>Combine, extra water</t>
  </si>
  <si>
    <t>Soak raw rice</t>
  </si>
  <si>
    <t>20-25°C</t>
  </si>
  <si>
    <t>6.5-6.0</t>
  </si>
  <si>
    <t>Raw rice in water</t>
  </si>
  <si>
    <t>Yamaoroshi (mix)</t>
  </si>
  <si>
    <t>30-40°C</t>
  </si>
  <si>
    <t>6.0-5.5</t>
  </si>
  <si>
    <t>Homogenize rice/koji</t>
  </si>
  <si>
    <t>Rice, koji, water, yeast</t>
  </si>
  <si>
    <t>Build moromi</t>
  </si>
  <si>
    <t>4.0-4.5</t>
  </si>
  <si>
    <t>Add acid to water</t>
  </si>
  <si>
    <t>Soe (1st addition)</t>
  </si>
  <si>
    <t>Day 0</t>
  </si>
  <si>
    <t>10-12°C</t>
  </si>
  <si>
    <t>-</t>
  </si>
  <si>
    <t>Add moto + rice + koji + water</t>
  </si>
  <si>
    <t>8-10°C</t>
  </si>
  <si>
    <t>6-8°C</t>
  </si>
  <si>
    <t>Cold start, small addition</t>
  </si>
  <si>
    <t>14-16°C</t>
  </si>
  <si>
    <t>Warm start</t>
  </si>
  <si>
    <t>Sokujo (lactic acid)</t>
  </si>
  <si>
    <t>Higuchi Kaori (Yellow)</t>
  </si>
  <si>
    <t>Yellow</t>
  </si>
  <si>
    <t>Natural lactic acid generation</t>
  </si>
  <si>
    <t>King of sake rice - low protein, high glutelin, large shinpaku</t>
  </si>
  <si>
    <t>Negligible citric acid, standard sake</t>
  </si>
  <si>
    <t>Ginjo/Daiginjo (soft)</t>
  </si>
  <si>
    <t>Yeast only (60°C)</t>
  </si>
  <si>
    <t>720mL bottle</t>
  </si>
  <si>
    <t>Water bath</t>
  </si>
  <si>
    <t>Ice bath</t>
  </si>
  <si>
    <t>Twice pasteurized</t>
  </si>
  <si>
    <t>Ship immediately</t>
  </si>
  <si>
    <t>Refrigerated (5C)</t>
  </si>
  <si>
    <t>32-35°C</t>
  </si>
  <si>
    <t>Soak rice</t>
  </si>
  <si>
    <t>10-15°C</t>
  </si>
  <si>
    <t>Absorb 28-32%</t>
  </si>
  <si>
    <t>Dry × 1.30</t>
  </si>
  <si>
    <t>Futa-koji (Tray)</t>
  </si>
  <si>
    <t>Daki (warm)</t>
  </si>
  <si>
    <t>+12 hrs</t>
  </si>
  <si>
    <t>5.5-6.0</t>
  </si>
  <si>
    <t>Warm slowly, enzymes active</t>
  </si>
  <si>
    <t>Yamaoroshi Day 1</t>
  </si>
  <si>
    <t>Day 1</t>
  </si>
  <si>
    <t>6.0-5.8</t>
  </si>
  <si>
    <t>Pole grind every 2-4 hrs</t>
  </si>
  <si>
    <t>Cold hold start</t>
  </si>
  <si>
    <t>5.8-5.5</t>
  </si>
  <si>
    <t>Begin cold phase</t>
  </si>
  <si>
    <t>Soyashi Day 3</t>
  </si>
  <si>
    <t>Day 3</t>
  </si>
  <si>
    <t>5.5-5.0</t>
  </si>
  <si>
    <t>LAB developing</t>
  </si>
  <si>
    <t>+2 hrs</t>
  </si>
  <si>
    <t>55°C</t>
  </si>
  <si>
    <t>High temp 6-8 hrs</t>
  </si>
  <si>
    <t>Initial ferment</t>
  </si>
  <si>
    <t>18-22°C</t>
  </si>
  <si>
    <t>Fermentation begins</t>
  </si>
  <si>
    <t>Add rice/koji</t>
  </si>
  <si>
    <t>Standard moromi build</t>
  </si>
  <si>
    <t>Standard (20-25 days)</t>
  </si>
  <si>
    <t>Odori (rest)</t>
  </si>
  <si>
    <t>No addition, let yeast adjust</t>
  </si>
  <si>
    <t>No addition, yeast adjust</t>
  </si>
  <si>
    <t>Extended rest</t>
  </si>
  <si>
    <t>Short rest</t>
  </si>
  <si>
    <t>Higuchi Ginjo #7 (Yellow)</t>
  </si>
  <si>
    <t>Fast method - lactic acid added</t>
  </si>
  <si>
    <t>75%</t>
  </si>
  <si>
    <t>650-700</t>
  </si>
  <si>
    <t>Tsuki-haze (Spotty)</t>
  </si>
  <si>
    <t>10B cells/mL (Wyeast)</t>
  </si>
  <si>
    <t>5 gal bucket</t>
  </si>
  <si>
    <t>Tsuki-haze (Ginjo)</t>
  </si>
  <si>
    <t>Clean, light style - highest glutelin release</t>
  </si>
  <si>
    <t>High citric acid, fresh/tart character</t>
  </si>
  <si>
    <t>Junmai (medium)</t>
  </si>
  <si>
    <t>Standard hi-ire (65°C)</t>
  </si>
  <si>
    <t>1.8L bottle</t>
  </si>
  <si>
    <t>Sous vide</t>
  </si>
  <si>
    <t>Cold water</t>
  </si>
  <si>
    <t>Once before storage</t>
  </si>
  <si>
    <t>Store 1-3 months</t>
  </si>
  <si>
    <t>Cool cellar (10-15C)</t>
  </si>
  <si>
    <t>Drain rice</t>
  </si>
  <si>
    <t>Surface dry</t>
  </si>
  <si>
    <t>Hako-koji (Box)</t>
  </si>
  <si>
    <t>Shizuku (drip)</t>
  </si>
  <si>
    <t>Uto (cold hold)</t>
  </si>
  <si>
    <t>Day 2</t>
  </si>
  <si>
    <t>4.5-5.0</t>
  </si>
  <si>
    <t>Low temp acid development</t>
  </si>
  <si>
    <t>Yamaoroshi Day 2</t>
  </si>
  <si>
    <t>Continue grinding</t>
  </si>
  <si>
    <t>LAB development</t>
  </si>
  <si>
    <t>Day 7</t>
  </si>
  <si>
    <t>5.0-4.5</t>
  </si>
  <si>
    <t>Natural LAB grows</t>
  </si>
  <si>
    <t>Soyashi Day 7</t>
  </si>
  <si>
    <t>4.5-4.0</t>
  </si>
  <si>
    <t>Active ferment</t>
  </si>
  <si>
    <t>Cool down</t>
  </si>
  <si>
    <t>+10 hrs</t>
  </si>
  <si>
    <t>5.0-5.5</t>
  </si>
  <si>
    <t>Rapid cooling</t>
  </si>
  <si>
    <t>Active phase</t>
  </si>
  <si>
    <t>Strong bubbling</t>
  </si>
  <si>
    <t>Pitch yeast</t>
  </si>
  <si>
    <t>+4 hrs</t>
  </si>
  <si>
    <t>High pitch rate</t>
  </si>
  <si>
    <t>Ginjo (25-35 days)</t>
  </si>
  <si>
    <t>Naka (2nd addition)</t>
  </si>
  <si>
    <t>Double the volume</t>
  </si>
  <si>
    <t>Careful addition</t>
  </si>
  <si>
    <t>Add volume</t>
  </si>
  <si>
    <t>Higuchi Sake Neutral (Yellow)</t>
  </si>
  <si>
    <t>Traditional with yamaoroshi</t>
  </si>
  <si>
    <t>Lactic acid (75%)</t>
  </si>
  <si>
    <t>85%</t>
  </si>
  <si>
    <t>573-616</t>
  </si>
  <si>
    <t>6B cells/mL (White Labs)</t>
  </si>
  <si>
    <t>6 gal bucket</t>
  </si>
  <si>
    <t>Omachi</t>
  </si>
  <si>
    <t>Heritage (1859) - rich, complex, earthy character</t>
  </si>
  <si>
    <t>Black</t>
  </si>
  <si>
    <t>Highest citric acid, bold flavor</t>
  </si>
  <si>
    <t>Kimoto/Yamahai (hard)</t>
  </si>
  <si>
    <t>Full stability (65°C 2x)</t>
  </si>
  <si>
    <t>750mL bottle</t>
  </si>
  <si>
    <t>Hot fill</t>
  </si>
  <si>
    <t>Air cooling</t>
  </si>
  <si>
    <t>Once before bottling</t>
  </si>
  <si>
    <t>Store 6+ months</t>
  </si>
  <si>
    <t>32°C</t>
  </si>
  <si>
    <t>100°C</t>
  </si>
  <si>
    <t>Hineri-mochi</t>
  </si>
  <si>
    <t>Dry × 1.40</t>
  </si>
  <si>
    <t>Steam rice (cont.)</t>
  </si>
  <si>
    <t>Auto-steam</t>
  </si>
  <si>
    <t>Ueda (Tarai)</t>
  </si>
  <si>
    <t>Fune (gentle)</t>
  </si>
  <si>
    <t>Yeast pitch</t>
  </si>
  <si>
    <t>Add hydrated yeast</t>
  </si>
  <si>
    <t>Yamaoroshi Day 3</t>
  </si>
  <si>
    <t>5.5-5.2</t>
  </si>
  <si>
    <t>Final grind, combine</t>
  </si>
  <si>
    <t>Mid-ferment</t>
  </si>
  <si>
    <t>Day 14</t>
  </si>
  <si>
    <t>Acid accumulating</t>
  </si>
  <si>
    <t>Soyashi complete</t>
  </si>
  <si>
    <t>Day 10</t>
  </si>
  <si>
    <t>3.5-4.0</t>
  </si>
  <si>
    <t>Target pH reached</t>
  </si>
  <si>
    <t>Tennen Kōbo</t>
  </si>
  <si>
    <t>5.0-4.2</t>
  </si>
  <si>
    <t>LAB &amp; wild yeast</t>
  </si>
  <si>
    <t>Peak</t>
  </si>
  <si>
    <t>Day 5</t>
  </si>
  <si>
    <t>&lt;4.0</t>
  </si>
  <si>
    <t>Maximum activity</t>
  </si>
  <si>
    <t>Monitor closely</t>
  </si>
  <si>
    <t>Daiginjo (30-40 days)</t>
  </si>
  <si>
    <t>Tome (3rd addition)</t>
  </si>
  <si>
    <t>Final addition</t>
  </si>
  <si>
    <t>Higuchi Mirin-type (Yellow)</t>
  </si>
  <si>
    <t>Lactic acid (85%)</t>
  </si>
  <si>
    <t>88%</t>
  </si>
  <si>
    <t>554-596</t>
  </si>
  <si>
    <t>8B cells/mL (Generic)</t>
  </si>
  <si>
    <t>7 gal bucket</t>
  </si>
  <si>
    <t>Miyamanishiki</t>
  </si>
  <si>
    <t>Ueda Method</t>
  </si>
  <si>
    <t>Cold-climate variety - crisp, clean finish</t>
  </si>
  <si>
    <t>Tanrei Karakuchi (Niigata)</t>
  </si>
  <si>
    <t>500mL bottle</t>
  </si>
  <si>
    <t>Tunnel pasteurizer</t>
  </si>
  <si>
    <t>Plate heat exchanger</t>
  </si>
  <si>
    <t>Unpasteurized</t>
  </si>
  <si>
    <t>Age 1+ years</t>
  </si>
  <si>
    <t>Warm (20-25C)</t>
  </si>
  <si>
    <t>Cool (hiki-komi)</t>
  </si>
  <si>
    <t>35-38°C</t>
  </si>
  <si>
    <t>Cool to 35°C</t>
  </si>
  <si>
    <t>DRY DOWN (hiki-komi)</t>
  </si>
  <si>
    <t>40°C/&lt;50%RH</t>
  </si>
  <si>
    <t>To 28-31% moisture</t>
  </si>
  <si>
    <t>Steamed × 0.85</t>
  </si>
  <si>
    <t>Cool &amp; inoculate</t>
  </si>
  <si>
    <t>Auto-inoculate</t>
  </si>
  <si>
    <t>Ueda Fast</t>
  </si>
  <si>
    <t>Fune (standard)</t>
  </si>
  <si>
    <t>Bubbling, yeast growth</t>
  </si>
  <si>
    <t>Dakidaru start</t>
  </si>
  <si>
    <t>Day 4</t>
  </si>
  <si>
    <t>5.0-4.8</t>
  </si>
  <si>
    <t>Begin warming phase</t>
  </si>
  <si>
    <t>Yeast emerges</t>
  </si>
  <si>
    <t>Day 20</t>
  </si>
  <si>
    <t>4.0-3.8</t>
  </si>
  <si>
    <t>Wild/added yeast</t>
  </si>
  <si>
    <t>Separate &amp; steam</t>
  </si>
  <si>
    <t>Day 10+</t>
  </si>
  <si>
    <t>Steam the soaked rice</t>
  </si>
  <si>
    <t>Yūtsuki</t>
  </si>
  <si>
    <t>15-20°C</t>
  </si>
  <si>
    <t>4.2-4.0</t>
  </si>
  <si>
    <t>Yeast ramp up</t>
  </si>
  <si>
    <t>Slow down</t>
  </si>
  <si>
    <t>&lt;3.8</t>
  </si>
  <si>
    <t>Fermentation slowing</t>
  </si>
  <si>
    <t>Continue</t>
  </si>
  <si>
    <t>Standard moromi temps</t>
  </si>
  <si>
    <t>Quick (14-20 days)</t>
  </si>
  <si>
    <t>Suji-awa</t>
  </si>
  <si>
    <t>Day 4-5</t>
  </si>
  <si>
    <t>Muscle</t>
  </si>
  <si>
    <t>Small striations appear</t>
  </si>
  <si>
    <t>Day 5-7</t>
  </si>
  <si>
    <t>Slow start, striations</t>
  </si>
  <si>
    <t>Day 6-9</t>
  </si>
  <si>
    <t>Very slow start</t>
  </si>
  <si>
    <t>Quick start</t>
  </si>
  <si>
    <t>Higuchi Shoyu-type (Yellow)</t>
  </si>
  <si>
    <t>Ancient method with soyashi mizu</t>
  </si>
  <si>
    <t>Lactic acid (88%)</t>
  </si>
  <si>
    <t>90%</t>
  </si>
  <si>
    <t>542-583</t>
  </si>
  <si>
    <t>Haze-otoshi (Post-growth)</t>
  </si>
  <si>
    <t>Soyashi water</t>
  </si>
  <si>
    <t>10 gal bucket</t>
  </si>
  <si>
    <t>Hattannishiki</t>
  </si>
  <si>
    <t>High-Enzyme (Moto)</t>
  </si>
  <si>
    <t>Hiroshima specialty - soft water brewing</t>
  </si>
  <si>
    <t>Miyamizu Style (Nada)</t>
  </si>
  <si>
    <t>300mL bottle</t>
  </si>
  <si>
    <t>Long-term aging</t>
  </si>
  <si>
    <t>30-32°C</t>
  </si>
  <si>
    <t>Tane-tsuke (inoc)</t>
  </si>
  <si>
    <t>Even spores</t>
  </si>
  <si>
    <t>Kirikaeshi (auto)</t>
  </si>
  <si>
    <t>32-34°C</t>
  </si>
  <si>
    <t>Auto-mix</t>
  </si>
  <si>
    <t>Machine (Kikai)</t>
  </si>
  <si>
    <t>Fune (aggressive)</t>
  </si>
  <si>
    <t>Peak activity</t>
  </si>
  <si>
    <t>Maximum CO2</t>
  </si>
  <si>
    <t>Dakidaru mid</t>
  </si>
  <si>
    <t>4.5-4.2</t>
  </si>
  <si>
    <t>Zigzag temp pattern</t>
  </si>
  <si>
    <t>Day 23</t>
  </si>
  <si>
    <t>18-20°C</t>
  </si>
  <si>
    <t>3.8-3.5</t>
  </si>
  <si>
    <t>Yeast dominates</t>
  </si>
  <si>
    <t>Combine moto</t>
  </si>
  <si>
    <t>25-28°C</t>
  </si>
  <si>
    <t>Add koji (40%), soyashi</t>
  </si>
  <si>
    <t>Yūtsukiyasumi</t>
  </si>
  <si>
    <t>20°C</t>
  </si>
  <si>
    <t>~4.0</t>
  </si>
  <si>
    <t>Rest, self-heating</t>
  </si>
  <si>
    <t>Complete</t>
  </si>
  <si>
    <t>&lt;3.5</t>
  </si>
  <si>
    <t>Ready (sweet, low ABV)</t>
  </si>
  <si>
    <t>Kimoto moromi</t>
  </si>
  <si>
    <t>Mizu-awa</t>
  </si>
  <si>
    <t>Day 6-7</t>
  </si>
  <si>
    <t>12-14°C</t>
  </si>
  <si>
    <t>Light white froth</t>
  </si>
  <si>
    <t>Day 8-10</t>
  </si>
  <si>
    <t>Light froth forming</t>
  </si>
  <si>
    <t>Day 10-14</t>
  </si>
  <si>
    <t>Delicate froth</t>
  </si>
  <si>
    <t>Day 5-6</t>
  </si>
  <si>
    <t>15-17°C</t>
  </si>
  <si>
    <t>Rapid foam</t>
  </si>
  <si>
    <t>Higuchi HO Shochu (White)</t>
  </si>
  <si>
    <t>Mizumoto_Koji</t>
  </si>
  <si>
    <t>Okayama style with koji soyashi</t>
  </si>
  <si>
    <t>Lactic acid (90%)</t>
  </si>
  <si>
    <t>See notes</t>
  </si>
  <si>
    <t>Tomo-haze (Dense)</t>
  </si>
  <si>
    <t>15 gal barrel</t>
  </si>
  <si>
    <t>Dewasansan</t>
  </si>
  <si>
    <t>Quick Sou-haze</t>
  </si>
  <si>
    <t>Yamagata breed - aromatic ginjo style</t>
  </si>
  <si>
    <t>Fushimi Style (Kyoto)</t>
  </si>
  <si>
    <t>180mL cup</t>
  </si>
  <si>
    <t>Jakan coil</t>
  </si>
  <si>
    <t>Wrap &amp; rest</t>
  </si>
  <si>
    <t>Germination</t>
  </si>
  <si>
    <t>Kirikaeshi (1st mix)</t>
  </si>
  <si>
    <t>Break clumps</t>
  </si>
  <si>
    <t>To tubs + lid</t>
  </si>
  <si>
    <t>Loose lid on</t>
  </si>
  <si>
    <t>Naka-shigoto (auto)</t>
  </si>
  <si>
    <t>Auto-furrow</t>
  </si>
  <si>
    <t>Yabuta (machine)</t>
  </si>
  <si>
    <t>Day 9</t>
  </si>
  <si>
    <t>&lt;3.6</t>
  </si>
  <si>
    <t>Reduce temp</t>
  </si>
  <si>
    <t>Dakidaru end</t>
  </si>
  <si>
    <t>Near target temp</t>
  </si>
  <si>
    <t>Day 26</t>
  </si>
  <si>
    <t>Reduce activity</t>
  </si>
  <si>
    <t>Moto ferment</t>
  </si>
  <si>
    <t>Yeast developing</t>
  </si>
  <si>
    <t>Extended Hakkō</t>
  </si>
  <si>
    <t>Day 6</t>
  </si>
  <si>
    <t>3.8-4.0</t>
  </si>
  <si>
    <t>Flavor development</t>
  </si>
  <si>
    <t>Bodaimoto moromi</t>
  </si>
  <si>
    <t>Iwa-awa</t>
  </si>
  <si>
    <t>Rock</t>
  </si>
  <si>
    <t>Most active, rocky foam</t>
  </si>
  <si>
    <t>Day 11-14</t>
  </si>
  <si>
    <t>Active but controlled</t>
  </si>
  <si>
    <t>Day 15-20</t>
  </si>
  <si>
    <t>Controlled activity</t>
  </si>
  <si>
    <t>Day 7-9</t>
  </si>
  <si>
    <t>16-18°C</t>
  </si>
  <si>
    <t>Very active</t>
  </si>
  <si>
    <t>Sokujo (yogurt-based)</t>
  </si>
  <si>
    <t>Akita Konno A-1 (Yellow)</t>
  </si>
  <si>
    <t>High-temp saccharification</t>
  </si>
  <si>
    <t>Phosphoric acid (85%)</t>
  </si>
  <si>
    <t>100%</t>
  </si>
  <si>
    <t>4g per 590mL</t>
  </si>
  <si>
    <t>Added</t>
  </si>
  <si>
    <t>30L tank</t>
  </si>
  <si>
    <t>Kame no O</t>
  </si>
  <si>
    <t>Ancient variety (1893) - complex, layered</t>
  </si>
  <si>
    <t>Hiroshima Style (soft)</t>
  </si>
  <si>
    <t>350mL can</t>
  </si>
  <si>
    <t>Jacketed tank</t>
  </si>
  <si>
    <t>Mori (to boxes)</t>
  </si>
  <si>
    <t>33-35°C</t>
  </si>
  <si>
    <t>15kg per box</t>
  </si>
  <si>
    <t>Mori (spread in tub)</t>
  </si>
  <si>
    <t>15kg per tub</t>
  </si>
  <si>
    <t>Shimai-shigoto (auto)</t>
  </si>
  <si>
    <t>38-42°C</t>
  </si>
  <si>
    <t>Auto-control</t>
  </si>
  <si>
    <t>Commercial</t>
  </si>
  <si>
    <t>Moto ready</t>
  </si>
  <si>
    <t>Strong yeast, ready for Soe</t>
  </si>
  <si>
    <t>Day 15</t>
  </si>
  <si>
    <t>3.8-3.6</t>
  </si>
  <si>
    <t>Add yeast (or wild)</t>
  </si>
  <si>
    <t>Day 30</t>
  </si>
  <si>
    <t>&lt;3.4</t>
  </si>
  <si>
    <t>Ready for Soe</t>
  </si>
  <si>
    <t>Day 18</t>
  </si>
  <si>
    <t>Strong ferment</t>
  </si>
  <si>
    <t>Taka-awa</t>
  </si>
  <si>
    <t>Day 10-12</t>
  </si>
  <si>
    <t>High</t>
  </si>
  <si>
    <t>Peak foam, fine bubbles</t>
  </si>
  <si>
    <t>Day 15-18</t>
  </si>
  <si>
    <t>Peak foam stage</t>
  </si>
  <si>
    <t>Day 21-25</t>
  </si>
  <si>
    <t>Extended peak</t>
  </si>
  <si>
    <t>Day 10-11</t>
  </si>
  <si>
    <t>Short-moto (fast kimoto-style)</t>
  </si>
  <si>
    <t>Akita Konno A-24 Ginjo (Yellow)</t>
  </si>
  <si>
    <t>Citric acid powder</t>
  </si>
  <si>
    <t>50L tank</t>
  </si>
  <si>
    <t>Tamazakae</t>
  </si>
  <si>
    <t>Shiga specialty - soft, elegant</t>
  </si>
  <si>
    <t>PO4</t>
  </si>
  <si>
    <t>Na</t>
  </si>
  <si>
    <t>N</t>
  </si>
  <si>
    <t>MaxG/L</t>
  </si>
  <si>
    <t>Balanced (general)</t>
  </si>
  <si>
    <t>Keg</t>
  </si>
  <si>
    <t>Mori (to trays)</t>
  </si>
  <si>
    <t>1.5kg per tray</t>
  </si>
  <si>
    <t>Naka-shigoto</t>
  </si>
  <si>
    <t>10-50% coverage</t>
  </si>
  <si>
    <t>34-36°C</t>
  </si>
  <si>
    <t>Dekoji (harvest)</t>
  </si>
  <si>
    <t>Cool</t>
  </si>
  <si>
    <t>15-17% moisture</t>
  </si>
  <si>
    <t>Dry × 1.15</t>
  </si>
  <si>
    <t>Fune (box press)</t>
  </si>
  <si>
    <t>Wakitsuki</t>
  </si>
  <si>
    <t>3.6-3.4</t>
  </si>
  <si>
    <t>Active yeast growth</t>
  </si>
  <si>
    <t>Day 24</t>
  </si>
  <si>
    <t>Ochi-awa</t>
  </si>
  <si>
    <t>Day 13-15</t>
  </si>
  <si>
    <t>Falling</t>
  </si>
  <si>
    <t>Foam receding</t>
  </si>
  <si>
    <t>Day 19-22</t>
  </si>
  <si>
    <t>Slow decline</t>
  </si>
  <si>
    <t>Day 26-30</t>
  </si>
  <si>
    <t>Gradual decline</t>
  </si>
  <si>
    <t>Day 12-14</t>
  </si>
  <si>
    <t>Rapid decline</t>
  </si>
  <si>
    <t>Kōon-touka (warm starter)</t>
  </si>
  <si>
    <t>Akita Konno SP-koji (Yellow)</t>
  </si>
  <si>
    <t>100L tank</t>
  </si>
  <si>
    <t>Hanafubuki</t>
  </si>
  <si>
    <t>Aomori variety - light, delicate</t>
  </si>
  <si>
    <t>Minimal (RO base)</t>
  </si>
  <si>
    <t>Bulk tank</t>
  </si>
  <si>
    <t>Shimai-shigoto</t>
  </si>
  <si>
    <t>Remove lids</t>
  </si>
  <si>
    <t>38-40°C</t>
  </si>
  <si>
    <t>Towels replace lid</t>
  </si>
  <si>
    <t>Yabuta (plate press)</t>
  </si>
  <si>
    <t>Maturation</t>
  </si>
  <si>
    <t>Slow, rest period</t>
  </si>
  <si>
    <t>Tama-awa</t>
  </si>
  <si>
    <t>Day 16-18</t>
  </si>
  <si>
    <t>Ball</t>
  </si>
  <si>
    <t>Soap-like bubbles</t>
  </si>
  <si>
    <t>Day 23-26</t>
  </si>
  <si>
    <t>Gentle finish</t>
  </si>
  <si>
    <t>Day 31-35</t>
  </si>
  <si>
    <t>Fine finish</t>
  </si>
  <si>
    <t>Day 15-16</t>
  </si>
  <si>
    <t>Finishing</t>
  </si>
  <si>
    <t>No-moto / kakezukuri</t>
  </si>
  <si>
    <t>Akita Konno SG Sou-haze (Yellow)</t>
  </si>
  <si>
    <t>110L tank</t>
  </si>
  <si>
    <t>Ginpu</t>
  </si>
  <si>
    <t>Hokkaido ginjo rice - cold resistant</t>
  </si>
  <si>
    <t>US Tap (Average)</t>
  </si>
  <si>
    <t>Bag press</t>
  </si>
  <si>
    <t>Day 35</t>
  </si>
  <si>
    <t>&lt;3.3</t>
  </si>
  <si>
    <t>Strong yeast for Soe</t>
  </si>
  <si>
    <t>Ji (ground)</t>
  </si>
  <si>
    <t>Calm</t>
  </si>
  <si>
    <t>Surface calm</t>
  </si>
  <si>
    <t>Day 27-32</t>
  </si>
  <si>
    <t>Long maturation</t>
  </si>
  <si>
    <t>Day 36-38</t>
  </si>
  <si>
    <t>Day 17-18</t>
  </si>
  <si>
    <t>Experimental</t>
  </si>
  <si>
    <t>Akita Konno KM Kimoto (Yellow)</t>
  </si>
  <si>
    <t>150L tank</t>
  </si>
  <si>
    <t>Akitasakekomachi</t>
  </si>
  <si>
    <t>Akita specialty - balanced, smooth</t>
  </si>
  <si>
    <t>Free-run (shizuku)</t>
  </si>
  <si>
    <t>Jōsō ready</t>
  </si>
  <si>
    <t>Day 23-25</t>
  </si>
  <si>
    <t>8°C</t>
  </si>
  <si>
    <t>Ready to press</t>
  </si>
  <si>
    <t>Day 33-35</t>
  </si>
  <si>
    <t>6°C</t>
  </si>
  <si>
    <t>Day 39-40</t>
  </si>
  <si>
    <t>5°C</t>
  </si>
  <si>
    <t>Day 19-20</t>
  </si>
  <si>
    <t>10°C</t>
  </si>
  <si>
    <t>Hishiroku Ginjo (Yellow)</t>
  </si>
  <si>
    <t>200L tank</t>
  </si>
  <si>
    <t>Ipponjime</t>
  </si>
  <si>
    <t>Niigata variety - clean, dry finish</t>
  </si>
  <si>
    <t>Centrifuge</t>
  </si>
  <si>
    <t>Hishiroku Standard (Yellow)</t>
  </si>
  <si>
    <t>225L barrique</t>
  </si>
  <si>
    <t>Yumenishiki</t>
  </si>
  <si>
    <t>Modern cultivar - versatile</t>
  </si>
  <si>
    <t>Hishiroku Amazake (Yellow)</t>
  </si>
  <si>
    <t>300L foudre</t>
  </si>
  <si>
    <t>Dewanosato</t>
  </si>
  <si>
    <t>Hitomebore</t>
  </si>
  <si>
    <t>Low digestibility despite low protein</t>
  </si>
  <si>
    <t>Bio'c Byakuya (White)</t>
  </si>
  <si>
    <t>500L tank</t>
  </si>
  <si>
    <t>Yumenokaori</t>
  </si>
  <si>
    <t>M-401</t>
  </si>
  <si>
    <t>Higher protein variety</t>
  </si>
  <si>
    <t>Bio'c Konayuki (White)</t>
  </si>
  <si>
    <t>1000L IBC</t>
  </si>
  <si>
    <t>Toyonishiki</t>
  </si>
  <si>
    <t>M-104</t>
  </si>
  <si>
    <t>Classic Niigata - tanrei karakuchi</t>
  </si>
  <si>
    <t>Bio'c Kuro-koji (Black)</t>
  </si>
  <si>
    <t>Wakamizu</t>
  </si>
  <si>
    <t>Calhikari</t>
  </si>
  <si>
    <t>Emerging variety</t>
  </si>
  <si>
    <t>Bio'c Yuki-koji (Yellow)</t>
  </si>
  <si>
    <t>Shinriki</t>
  </si>
  <si>
    <t>Caloro</t>
  </si>
  <si>
    <t>Heritage (pre-war) - full body</t>
  </si>
  <si>
    <t>Marufuku Standard (Yellow)</t>
  </si>
  <si>
    <t>Koshitanrei</t>
  </si>
  <si>
    <t>Blue Rose</t>
  </si>
  <si>
    <t>Niigata premium - Yamada x Gohyaku cross</t>
  </si>
  <si>
    <t>Marufuku White Citric (White)</t>
  </si>
  <si>
    <t>Yukinosei</t>
  </si>
  <si>
    <t>Generic medium-grain</t>
  </si>
  <si>
    <t>Niigata snow country variety</t>
  </si>
  <si>
    <t>Marufuku Black Awamori (Black)</t>
  </si>
  <si>
    <t>Koshihikari</t>
  </si>
  <si>
    <t>Japan's #1 table rice - low prolamin, clean</t>
  </si>
  <si>
    <t>Awamori Kuro-koji (Black)</t>
  </si>
  <si>
    <t>Nipponbare</t>
  </si>
  <si>
    <t>Standard table rice - NRIB reference</t>
  </si>
  <si>
    <t>Awamori White Mutant (White)</t>
  </si>
  <si>
    <t>Akitakomachi</t>
  </si>
  <si>
    <t>Premium table rice - slightly sticky</t>
  </si>
  <si>
    <t>Medium Municipal</t>
  </si>
  <si>
    <t>Oriza Gin-1061 (Yellow)</t>
  </si>
  <si>
    <t>Miyagi table rice - balanced</t>
  </si>
  <si>
    <t>Hard Municipal</t>
  </si>
  <si>
    <t>Oriza No.36 (Yellow)</t>
  </si>
  <si>
    <t>Hinohikari</t>
  </si>
  <si>
    <t>Western Japan table rice</t>
  </si>
  <si>
    <t>USA: West Oakland CA</t>
  </si>
  <si>
    <t>Kura-tsuki Indigenous (Yellow)</t>
  </si>
  <si>
    <t>Sasanishiki</t>
  </si>
  <si>
    <t>Classic table rice - less sticky</t>
  </si>
  <si>
    <t>USA: Little Rock AR</t>
  </si>
  <si>
    <t>GEM Cultures (Yellow)</t>
  </si>
  <si>
    <t>Nanatsuboshi</t>
  </si>
  <si>
    <t>Hokkaido table rice</t>
  </si>
  <si>
    <t>USA: Lexington KY</t>
  </si>
  <si>
    <t>Vision Brewing (Yellow)</t>
  </si>
  <si>
    <t>Yumepirika</t>
  </si>
  <si>
    <t>Hokkaido premium table</t>
  </si>
  <si>
    <t>House Blend Fruity (Yellow)</t>
  </si>
  <si>
    <t>Tsuyahime</t>
  </si>
  <si>
    <t>Yamagata premium table</t>
  </si>
  <si>
    <t>House Blend Neutral (Yellow)</t>
  </si>
  <si>
    <t>Milky Queen</t>
  </si>
  <si>
    <t>Low-amylose, very sticky</t>
  </si>
  <si>
    <t>Custom Yellow (Yellow)</t>
  </si>
  <si>
    <t>Calrose (USA)</t>
  </si>
  <si>
    <t>California medium grain - widely available</t>
  </si>
  <si>
    <t>Custom White (White)</t>
  </si>
  <si>
    <t>Kokuho Rose (USA)</t>
  </si>
  <si>
    <t>California premium - Koda Farms</t>
  </si>
  <si>
    <t>Custom Black (Black)</t>
  </si>
  <si>
    <t>Tamaki Gold (USA)</t>
  </si>
  <si>
    <t>California Koshihikari-style</t>
  </si>
  <si>
    <t>Tamanishiki (USA)</t>
  </si>
  <si>
    <t>Super premium California</t>
  </si>
  <si>
    <t>Kagayaki (USA)</t>
  </si>
  <si>
    <t>California short grain</t>
  </si>
  <si>
    <t>Nishiki (USA)</t>
  </si>
  <si>
    <t>California medium grain - common</t>
  </si>
  <si>
    <t>Botan (USA)</t>
  </si>
  <si>
    <t>California Calrose type</t>
  </si>
  <si>
    <t>Koda Farms Kokuho (USA)</t>
  </si>
  <si>
    <t>Artisan California - organic available</t>
  </si>
  <si>
    <t>Lundberg Sushi (USA)</t>
  </si>
  <si>
    <t>California organic short grain</t>
  </si>
  <si>
    <t>Carolina Gold (USA)</t>
  </si>
  <si>
    <t>Heritage long grain - not ideal for sake</t>
  </si>
  <si>
    <t>Koshihikari (USA)</t>
  </si>
  <si>
    <t>US-grown Koshihikari - Texas/Arkansas</t>
  </si>
  <si>
    <t>Akitakomachi (USA)</t>
  </si>
  <si>
    <t>US-grown Akitakomachi</t>
  </si>
  <si>
    <t>Chucheong (Korea)</t>
  </si>
  <si>
    <t>Korean short grain - similar to Calrose</t>
  </si>
  <si>
    <t>Generic Short Grain</t>
  </si>
  <si>
    <t>NRIB average - use for unknowns</t>
  </si>
  <si>
    <t>Generic Medium Grain</t>
  </si>
  <si>
    <t>Medium grain average</t>
  </si>
  <si>
    <t>Generic Table Rice</t>
  </si>
  <si>
    <t>Table rice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</si>
</sst>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0;&quot;&quot;"/>
    <numFmt numFmtId="166" formatCode="0\%"/>
    <numFmt numFmtId="167" formatCode="#,##0.00;\-#,##0.00;\-"/>
    <numFmt numFmtId="168" formatCode="#,##0.0"/>
    <numFmt numFmtId="169" formatCode="0.000"/>
    <numFmt numFmtId="170" formatCode="0.00&quot; kg&quot;"/>
    <numFmt numFmtId="171" formatCode="m/d\ h:mm"/>
    <numFmt numFmtId="172" formatCode="mm/dd\ hh:mm"/>
    <numFmt numFmtId="173" formatCode="mm/dd"/>
    <numFmt numFmtId="174" formatCode="m/d"/>
  </numFmts>
  <fonts count="51">
    <font>
      <sz val="11"/>
      <color theme="1"/>
      <name val="Calibri"/>
      <family val="2"/>
      <scheme val="minor"/>
    </font>
    <font>
      <b/>
      <sz val="14"/>
      <color rgb="FFFFFFFF"/>
      <name val="Calibri"/>
      <family val="2"/>
    </font>
    <font>
      <i/>
      <sz val="11"/>
      <color rgb="FF666666"/>
      <name val="Calibri"/>
      <family val="2"/>
    </font>
    <font>
      <sz val="9"/>
      <color rgb="FF999999"/>
      <name val="Calibri"/>
      <family val="2"/>
    </font>
    <font>
      <b/>
      <sz val="11"/>
      <color rgb="FFFFFFFF"/>
      <name val="Calibri"/>
      <family val="2"/>
    </font>
    <font>
      <sz val="10"/>
      <name val="Calibri"/>
      <family val="2"/>
    </font>
    <font>
      <b/>
      <u/>
      <sz val="14"/>
      <color rgb="FF0000FF"/>
      <name val="Calibri"/>
      <family val="2"/>
    </font>
    <font>
      <b/>
      <sz val="10"/>
      <name val="Calibri"/>
      <family val="2"/>
    </font>
    <font>
      <b/>
      <sz val="14"/>
      <color rgb="FF1A1A2E"/>
      <name val="Cambria"/>
      <family val="1"/>
      <charset val="1"/>
    </font>
    <font>
      <sz val="11"/>
      <name val="Cambria"/>
      <family val="1"/>
      <charset val="1"/>
    </font>
    <font>
      <b/>
      <sz val="10"/>
      <color rgb="FF1A1A2E"/>
      <name val="Cambria"/>
      <family val="1"/>
      <charset val="1"/>
    </font>
    <font>
      <sz val="10"/>
      <color rgb="FF1A1A2E"/>
      <name val="Cambria"/>
      <family val="1"/>
      <charset val="1"/>
    </font>
    <font>
      <i/>
      <sz val="8"/>
      <color rgb="FF666666"/>
      <name val="Cambria"/>
      <family val="1"/>
      <charset val="1"/>
    </font>
    <font>
      <i/>
      <sz val="11"/>
      <color rgb="FF888888"/>
      <name val="Cambria"/>
      <family val="1"/>
    </font>
    <font>
      <sz val="11"/>
      <color theme="1"/>
      <name val="Calibri"/>
      <family val="2"/>
      <charset val="1"/>
    </font>
    <font>
      <sz val="11"/>
      <name val="Cambria"/>
      <family val="1"/>
    </font>
    <font>
      <b/>
      <sz val="11"/>
      <name val="Cambria"/>
      <family val="1"/>
    </font>
    <font>
      <sz val="11"/>
      <name val="Calibri"/>
      <family val="2"/>
      <charset val="1"/>
    </font>
    <font>
      <b/>
      <sz val="10"/>
      <color rgb="FF2E7D32"/>
      <name val="Cambria"/>
      <family val="1"/>
      <charset val="1"/>
    </font>
    <font>
      <b/>
      <sz val="11"/>
      <color rgb="FFFFFFFF"/>
      <name val="Cambria"/>
      <family val="1"/>
    </font>
    <font>
      <i/>
      <sz val="11"/>
      <color rgb="FF666666"/>
      <name val="Cambria"/>
      <family val="1"/>
    </font>
    <font>
      <sz val="11"/>
      <color rgb="FF666666"/>
      <name val="Cambria"/>
      <family val="1"/>
    </font>
    <font>
      <b/>
      <sz val="9"/>
      <name val="Cambria"/>
      <family val="1"/>
    </font>
    <font>
      <i/>
      <sz val="8"/>
      <color rgb="FF666666"/>
      <name val="Cambria"/>
      <family val="1"/>
    </font>
    <font>
      <b/>
      <sz val="14"/>
      <name val="Cambria"/>
      <family val="1"/>
    </font>
    <font>
      <b/>
      <sz val="11"/>
      <color theme="1"/>
      <name val="Calibri"/>
      <family val="2"/>
    </font>
    <font>
      <sz val="11"/>
      <color theme="1"/>
      <name val="Calibri"/>
      <family val="2"/>
    </font>
    <font>
      <sz val="11"/>
      <color theme="1"/>
      <name val="Noto Sans CJK SC"/>
      <family val="2"/>
      <charset val="1"/>
    </font>
    <font>
      <i/>
      <sz val="9"/>
      <name val="Cambria"/>
      <family val="1"/>
    </font>
    <font>
      <b/>
      <sz val="14"/>
      <name val="Calibri"/>
      <family val="2"/>
    </font>
    <font>
      <i/>
      <sz val="9"/>
      <color rgb="FF666666"/>
      <name val="Calibri"/>
      <family val="2"/>
    </font>
    <font>
      <sz val="11"/>
      <name val="Calibri"/>
      <family val="2"/>
    </font>
    <font>
      <b/>
      <sz val="11"/>
      <color rgb="FFFFFFFF"/>
      <name val="Calibri"/>
      <family val="2"/>
    </font>
    <font>
      <sz val="11"/>
      <name val="Calibri"/>
      <family val="2"/>
    </font>
    <font>
      <i/>
      <sz val="9"/>
      <name val="Calibri"/>
      <family val="2"/>
    </font>
    <font>
      <i/>
      <sz val="8"/>
      <color rgb="FF666666"/>
      <name val="Calibri"/>
      <family val="2"/>
    </font>
    <font>
      <sz val="9"/>
      <name val="Calibri"/>
      <family val="2"/>
    </font>
    <font>
      <b/>
      <sz val="14"/>
      <color rgb="FF1A1A2E"/>
      <name val="Calibri"/>
      <family val="2"/>
    </font>
    <font>
      <b/>
      <sz val="11"/>
      <name val="Calibri"/>
      <family val="2"/>
    </font>
    <font>
      <b/>
      <sz val="11"/>
      <color rgb="FF1A1A2E"/>
      <name val="Calibri"/>
      <family val="2"/>
    </font>
    <font>
      <sz val="11"/>
      <color rgb="FF1F4E79"/>
      <name val="Cambria"/>
      <family val="1"/>
    </font>
    <font>
      <b/>
      <sz val="14"/>
      <name val="Calibri"/>
      <family val="2"/>
    </font>
    <font>
      <b/>
      <sz val="11"/>
      <color rgb="FFFFFFFF"/>
      <name val="Calibri"/>
      <family val="2"/>
    </font>
    <font>
      <b/>
      <sz val="11"/>
      <name val="Calibri"/>
      <family val="2"/>
    </font>
    <font>
      <b/>
      <sz val="11"/>
      <name val="Calibri"/>
      <family val="2"/>
    </font>
    <font>
      <b/>
      <sz val="11"/>
      <color rgb="FF006600"/>
      <name val="Calibri"/>
      <family val="2"/>
    </font>
    <font>
      <b/>
      <sz val="16"/>
      <color rgb="FF1A1A2E"/>
      <name val="Calibri"/>
      <family val="2"/>
    </font>
    <font>
      <i/>
      <sz val="10"/>
      <name val="Calibri"/>
      <family val="2"/>
    </font>
    <font>
      <b/>
      <sz val="11"/>
      <color rgb="FFFFFFFF"/>
      <name val="Cambria"/>
      <family val="1"/>
      <charset val="1"/>
    </font>
    <font>
      <b/>
      <sz val="11"/>
      <name val="Cambria"/>
      <family val="1"/>
      <charset val="1"/>
    </font>
    <font>
      <sz val="11"/>
      <color rgb="FF000000"/>
      <name val="Calibri"/>
      <family val="2"/>
    </font>
  </fonts>
  <fills count="27">
    <fill>
      <patternFill patternType="none"/>
    </fill>
    <fill>
      <patternFill patternType="gray125"/>
    </fill>
    <fill>
      <patternFill patternType="solid"/>
    </fill>
    <fill>
      <patternFill patternType="solid">
        <fgColor rgb="FF4E6E7E"/>
        <bgColor rgb="FF4E6E7E"/>
      </patternFill>
    </fill>
    <fill>
      <patternFill patternType="solid">
        <fgColor rgb="FFCCEBFF"/>
        <bgColor rgb="FFCCEBFF"/>
      </patternFill>
    </fill>
    <fill>
      <patternFill patternType="solid">
        <fgColor rgb="FFE8F5E9"/>
        <bgColor rgb="FFE8F5E9"/>
      </patternFill>
    </fill>
    <fill>
      <patternFill patternType="solid">
        <fgColor rgb="FFF0F0F0"/>
        <bgColor rgb="FFF0F0F0"/>
      </patternFill>
    </fill>
    <fill>
      <patternFill patternType="solid">
        <fgColor rgb="FFFFFFFF"/>
        <bgColor rgb="FFFFFFFF"/>
      </patternFill>
    </fill>
    <fill>
      <patternFill patternType="solid">
        <fgColor rgb="FF6A8A9A"/>
        <bgColor rgb="FF6A8A9A"/>
      </patternFill>
    </fill>
    <fill>
      <patternFill patternType="solid">
        <fgColor rgb="FFFFFFFF"/>
        <bgColor rgb="FFF5F8FA"/>
      </patternFill>
    </fill>
    <fill>
      <patternFill patternType="solid">
        <fgColor rgb="FFE8F5E9"/>
        <bgColor rgb="FFF0F0F0"/>
      </patternFill>
    </fill>
    <fill>
      <patternFill patternType="solid">
        <fgColor rgb="FFCCEBFF"/>
        <bgColor rgb="FFDAEEF3"/>
      </patternFill>
    </fill>
    <fill>
      <patternFill patternType="solid">
        <fgColor rgb="FFF0F0F0"/>
        <bgColor rgb="FFE8F5E9"/>
      </patternFill>
    </fill>
    <fill>
      <patternFill patternType="solid">
        <fgColor rgb="FF4E6E7E"/>
        <bgColor rgb="FF666666"/>
      </patternFill>
    </fill>
    <fill>
      <patternFill patternType="solid">
        <fgColor rgb="FFB8CCE4"/>
        <bgColor rgb="FFB8CCE4"/>
      </patternFill>
    </fill>
    <fill>
      <patternFill patternType="solid">
        <fgColor rgb="FFB8CCE4"/>
        <bgColor rgb="FFD9D9D9"/>
      </patternFill>
    </fill>
    <fill>
      <patternFill patternType="solid">
        <fgColor rgb="FF4E6E7E"/>
        <bgColor rgb="FF4E6E7E"/>
      </patternFill>
    </fill>
    <fill>
      <patternFill patternType="solid">
        <fgColor rgb="FFCCEBFF"/>
        <bgColor rgb="FFCCEBFF"/>
      </patternFill>
    </fill>
    <fill>
      <patternFill patternType="solid">
        <fgColor rgb="FFE8F5E9"/>
        <bgColor rgb="FFE8F5E9"/>
      </patternFill>
    </fill>
    <fill>
      <patternFill patternType="solid">
        <fgColor rgb="FFF0F0F0"/>
        <bgColor rgb="FFF0F0F0"/>
      </patternFill>
    </fill>
    <fill>
      <patternFill patternType="solid">
        <fgColor rgb="FF6A8A9A"/>
        <bgColor rgb="FF6A8A9A"/>
      </patternFill>
    </fill>
    <fill>
      <patternFill patternType="solid">
        <fgColor rgb="FFFFCCCC"/>
        <bgColor rgb="FFFFCCCC"/>
      </patternFill>
    </fill>
    <fill>
      <patternFill patternType="solid">
        <fgColor rgb="FF1A535C"/>
        <bgColor rgb="FF1F4E79"/>
      </patternFill>
    </fill>
    <fill>
      <patternFill patternType="solid">
        <fgColor rgb="FFF5F8FA"/>
        <bgColor rgb="FFF0F0F0"/>
      </patternFill>
    </fill>
    <fill>
      <patternFill patternType="solid">
        <fgColor rgb="FFC6EFCE"/>
        <bgColor rgb="FFDAEEF3"/>
      </patternFill>
    </fill>
    <fill>
      <patternFill patternType="solid">
        <fgColor rgb="FFFFEB9C"/>
        <bgColor rgb="FFE8D4A8"/>
      </patternFill>
    </fill>
    <fill>
      <patternFill patternType="solid">
        <fgColor rgb="FFFFD9D9"/>
        <bgColor rgb="FFFFCCCC"/>
      </patternFill>
    </fill>
  </fills>
  <borders count="5">
    <border>
      <left/>
      <right/>
      <top/>
      <bottom/>
      <diagonal/>
    </border>
    <border>
      <left style="thin">
        <color rgb="FF9DB4C0"/>
      </left>
      <right style="thin">
        <color rgb="FF9DB4C0"/>
      </right>
      <top style="thin">
        <color rgb="FF9DB4C0"/>
      </top>
      <bottom style="thin">
        <color rgb="FF9DB4C0"/>
      </bottom>
      <diagonal/>
    </border>
    <border>
      <left/>
      <right style="thin">
        <color rgb="FF9DB4C0"/>
      </right>
      <top/>
      <bottom style="thin">
        <color rgb="FF9DB4C0"/>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0">
    <xf numFmtId="0" fontId="0" fillId="0" borderId="0" xfId="0"/>
    <xf numFmtId="0" fontId="2" fillId="0" borderId="0" xfId="0" applyFont="1"/>
    <xf numFmtId="0" fontId="3" fillId="0" borderId="0" xfId="0" applyFont="1"/>
    <xf numFmtId="0" fontId="4" fillId="3" borderId="0" xfId="0" applyFont="1" applyFill="1"/>
    <xf numFmtId="0" fontId="5" fillId="0" borderId="0" xfId="0" applyFont="1"/>
    <xf numFmtId="0" fontId="7" fillId="0" borderId="0" xfId="0" applyFont="1"/>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5" fillId="0" borderId="0" xfId="0" applyFont="1" applyAlignment="1">
      <alignment horizontal="center"/>
    </xf>
    <xf numFmtId="0" fontId="5" fillId="0" borderId="0" xfId="0" applyFont="1" applyAlignment="1">
      <alignment vertical="top" wrapText="1"/>
    </xf>
    <xf numFmtId="0" fontId="4" fillId="8" borderId="0" xfId="0" applyFont="1" applyFill="1"/>
    <xf numFmtId="0" fontId="8" fillId="0" borderId="0" xfId="0" applyFont="1"/>
    <xf numFmtId="0" fontId="9" fillId="0" borderId="0" xfId="0" applyFont="1"/>
    <xf numFmtId="0" fontId="9" fillId="0" borderId="0" xfId="0" applyFont="1" applyAlignment="1">
      <alignment wrapText="1"/>
    </xf>
    <xf numFmtId="0" fontId="10" fillId="9" borderId="0" xfId="0" applyFont="1" applyFill="1"/>
    <xf numFmtId="2" fontId="11" fillId="0" borderId="0" xfId="0" applyNumberFormat="1" applyFont="1" applyAlignment="1">
      <alignment horizontal="right"/>
    </xf>
    <xf numFmtId="0" fontId="12" fillId="0" borderId="0" xfId="0" applyFont="1"/>
    <xf numFmtId="2" fontId="9" fillId="0" borderId="0" xfId="0" applyNumberFormat="1" applyFont="1"/>
    <xf numFmtId="2" fontId="11" fillId="4" borderId="0" xfId="0" applyNumberFormat="1" applyFont="1" applyFill="1"/>
    <xf numFmtId="2" fontId="13" fillId="0" borderId="1" xfId="0" applyNumberFormat="1" applyFont="1" applyBorder="1"/>
    <xf numFmtId="0" fontId="14" fillId="4" borderId="0" xfId="0" applyFont="1" applyFill="1"/>
    <xf numFmtId="0" fontId="15" fillId="0" borderId="0" xfId="0" applyFont="1"/>
    <xf numFmtId="0" fontId="16" fillId="0" borderId="0" xfId="0" applyFont="1"/>
    <xf numFmtId="1" fontId="14" fillId="5" borderId="0" xfId="0" applyNumberFormat="1" applyFont="1" applyFill="1" applyAlignment="1">
      <alignment horizontal="center"/>
    </xf>
    <xf numFmtId="0" fontId="14" fillId="10" borderId="0" xfId="0" applyFont="1" applyFill="1"/>
    <xf numFmtId="1" fontId="14" fillId="10" borderId="0" xfId="0" applyNumberFormat="1" applyFont="1" applyFill="1"/>
    <xf numFmtId="0" fontId="14" fillId="11" borderId="0" xfId="0" applyFont="1" applyFill="1"/>
    <xf numFmtId="0" fontId="14" fillId="12" borderId="0" xfId="0" applyFont="1" applyFill="1"/>
    <xf numFmtId="2" fontId="11" fillId="12" borderId="0" xfId="0" applyNumberFormat="1" applyFont="1" applyFill="1"/>
    <xf numFmtId="0" fontId="10" fillId="0" borderId="0" xfId="0" applyFont="1"/>
    <xf numFmtId="0" fontId="11" fillId="0" borderId="0" xfId="0" applyFont="1"/>
    <xf numFmtId="2" fontId="14" fillId="12" borderId="0" xfId="0" applyNumberFormat="1" applyFont="1" applyFill="1"/>
    <xf numFmtId="164" fontId="10" fillId="0" borderId="0" xfId="0" applyNumberFormat="1" applyFont="1"/>
    <xf numFmtId="165" fontId="10" fillId="0" borderId="0" xfId="0" applyNumberFormat="1" applyFont="1"/>
    <xf numFmtId="165" fontId="9" fillId="0" borderId="0" xfId="0" applyNumberFormat="1" applyFont="1"/>
    <xf numFmtId="2" fontId="17" fillId="0" borderId="1" xfId="0" applyNumberFormat="1" applyFont="1" applyBorder="1"/>
    <xf numFmtId="166" fontId="14" fillId="12" borderId="0" xfId="0" applyNumberFormat="1" applyFont="1" applyFill="1"/>
    <xf numFmtId="2" fontId="18" fillId="12" borderId="0" xfId="0" applyNumberFormat="1" applyFont="1" applyFill="1"/>
    <xf numFmtId="0" fontId="10" fillId="9" borderId="0" xfId="0" applyFont="1" applyFill="1" applyAlignment="1">
      <alignment horizontal="center"/>
    </xf>
    <xf numFmtId="2" fontId="11" fillId="11" borderId="0" xfId="0" applyNumberFormat="1" applyFont="1" applyFill="1" applyAlignment="1">
      <alignment horizontal="center"/>
    </xf>
    <xf numFmtId="165" fontId="10" fillId="0" borderId="0" xfId="0" applyNumberFormat="1" applyFont="1" applyAlignment="1">
      <alignment horizontal="center"/>
    </xf>
    <xf numFmtId="165" fontId="9" fillId="0" borderId="0" xfId="0" applyNumberFormat="1" applyFont="1" applyAlignment="1">
      <alignment horizontal="center"/>
    </xf>
    <xf numFmtId="165" fontId="11" fillId="0" borderId="0" xfId="0" applyNumberFormat="1" applyFont="1" applyAlignment="1">
      <alignment horizontal="center"/>
    </xf>
    <xf numFmtId="2" fontId="9" fillId="12" borderId="0" xfId="0" applyNumberFormat="1" applyFont="1" applyFill="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4" fillId="8" borderId="1" xfId="0" applyFont="1" applyFill="1" applyBorder="1" applyAlignment="1">
      <alignment horizontal="center"/>
    </xf>
    <xf numFmtId="0" fontId="4" fillId="8" borderId="0" xfId="0" applyFont="1" applyFill="1" applyAlignment="1">
      <alignment horizontal="center"/>
    </xf>
    <xf numFmtId="0" fontId="19" fillId="0" borderId="0" xfId="0" applyFont="1"/>
    <xf numFmtId="0" fontId="10" fillId="9" borderId="1" xfId="0" applyFont="1" applyFill="1" applyBorder="1"/>
    <xf numFmtId="167" fontId="11" fillId="12" borderId="0" xfId="0" applyNumberFormat="1" applyFont="1" applyFill="1" applyAlignment="1">
      <alignment horizontal="right"/>
    </xf>
    <xf numFmtId="2" fontId="11" fillId="12" borderId="0" xfId="0" applyNumberFormat="1" applyFont="1" applyFill="1" applyAlignment="1">
      <alignment horizontal="right"/>
    </xf>
    <xf numFmtId="167" fontId="18" fillId="12" borderId="0" xfId="0" applyNumberFormat="1" applyFont="1" applyFill="1"/>
    <xf numFmtId="167" fontId="13" fillId="12" borderId="0" xfId="0" applyNumberFormat="1" applyFont="1" applyFill="1"/>
    <xf numFmtId="167" fontId="15" fillId="0" borderId="1" xfId="0" applyNumberFormat="1" applyFont="1" applyBorder="1"/>
    <xf numFmtId="2" fontId="15" fillId="0" borderId="1" xfId="0" applyNumberFormat="1" applyFont="1" applyBorder="1"/>
    <xf numFmtId="0" fontId="16" fillId="0" borderId="2" xfId="0" applyFont="1" applyBorder="1"/>
    <xf numFmtId="164" fontId="16" fillId="12" borderId="0" xfId="0" applyNumberFormat="1" applyFont="1" applyFill="1"/>
    <xf numFmtId="1" fontId="15" fillId="12" borderId="0" xfId="0" applyNumberFormat="1" applyFont="1" applyFill="1" applyAlignment="1">
      <alignment horizontal="right"/>
    </xf>
    <xf numFmtId="168" fontId="15" fillId="0" borderId="0" xfId="0" applyNumberFormat="1" applyFont="1" applyAlignment="1">
      <alignment horizontal="right"/>
    </xf>
    <xf numFmtId="2" fontId="15" fillId="0" borderId="1" xfId="0" applyNumberFormat="1" applyFont="1" applyBorder="1" applyAlignment="1">
      <alignment horizontal="right"/>
    </xf>
    <xf numFmtId="1" fontId="15" fillId="0" borderId="1" xfId="0" applyNumberFormat="1" applyFont="1" applyBorder="1" applyAlignment="1">
      <alignment horizontal="right"/>
    </xf>
    <xf numFmtId="0" fontId="20" fillId="0" borderId="0" xfId="0" applyFont="1"/>
    <xf numFmtId="0" fontId="15" fillId="0" borderId="0" xfId="0" applyFont="1" applyAlignment="1">
      <alignment horizontal="right"/>
    </xf>
    <xf numFmtId="0" fontId="21" fillId="0" borderId="0" xfId="0" applyFont="1"/>
    <xf numFmtId="2" fontId="21" fillId="12" borderId="0" xfId="0" applyNumberFormat="1" applyFont="1" applyFill="1" applyAlignment="1">
      <alignment horizontal="right"/>
    </xf>
    <xf numFmtId="2" fontId="15" fillId="0" borderId="0" xfId="0" applyNumberFormat="1" applyFont="1" applyAlignment="1">
      <alignment horizontal="right"/>
    </xf>
    <xf numFmtId="0" fontId="15" fillId="4" borderId="0" xfId="0" applyFont="1" applyFill="1"/>
    <xf numFmtId="2" fontId="15" fillId="12" borderId="0" xfId="0" applyNumberFormat="1" applyFont="1" applyFill="1"/>
    <xf numFmtId="0" fontId="22" fillId="0" borderId="0" xfId="0" applyFont="1"/>
    <xf numFmtId="0" fontId="15" fillId="12" borderId="0" xfId="0" applyFont="1" applyFill="1"/>
    <xf numFmtId="0" fontId="23" fillId="0" borderId="0" xfId="0" applyFont="1"/>
    <xf numFmtId="2" fontId="14" fillId="6" borderId="0" xfId="0" applyNumberFormat="1" applyFont="1" applyFill="1"/>
    <xf numFmtId="169" fontId="15" fillId="12" borderId="0" xfId="0" applyNumberFormat="1" applyFont="1" applyFill="1"/>
    <xf numFmtId="169" fontId="15" fillId="11" borderId="0" xfId="0" applyNumberFormat="1" applyFont="1" applyFill="1"/>
    <xf numFmtId="169" fontId="15" fillId="0" borderId="0" xfId="0" applyNumberFormat="1" applyFont="1"/>
    <xf numFmtId="0" fontId="19" fillId="13" borderId="0" xfId="0" applyFont="1" applyFill="1"/>
    <xf numFmtId="169" fontId="15" fillId="13" borderId="0" xfId="0" applyNumberFormat="1" applyFont="1" applyFill="1"/>
    <xf numFmtId="0" fontId="15" fillId="13" borderId="0" xfId="0" applyFont="1" applyFill="1"/>
    <xf numFmtId="169" fontId="16" fillId="0" borderId="0" xfId="0" applyNumberFormat="1" applyFont="1"/>
    <xf numFmtId="0" fontId="24" fillId="0" borderId="0" xfId="0" applyFont="1"/>
    <xf numFmtId="0" fontId="13" fillId="0" borderId="0" xfId="0" applyFont="1"/>
    <xf numFmtId="0" fontId="14" fillId="6" borderId="0" xfId="0" applyFont="1" applyFill="1"/>
    <xf numFmtId="22" fontId="15" fillId="5" borderId="0" xfId="0" applyNumberFormat="1" applyFont="1" applyFill="1"/>
    <xf numFmtId="164" fontId="15" fillId="12" borderId="0" xfId="0" applyNumberFormat="1" applyFont="1" applyFill="1"/>
    <xf numFmtId="170" fontId="15" fillId="12" borderId="0" xfId="0" applyNumberFormat="1" applyFont="1" applyFill="1"/>
    <xf numFmtId="1" fontId="15" fillId="12" borderId="0" xfId="0" applyNumberFormat="1" applyFont="1" applyFill="1"/>
    <xf numFmtId="171" fontId="15" fillId="6" borderId="0" xfId="0" applyNumberFormat="1" applyFont="1" applyFill="1"/>
    <xf numFmtId="172" fontId="15" fillId="6" borderId="0" xfId="0" applyNumberFormat="1" applyFont="1" applyFill="1"/>
    <xf numFmtId="22" fontId="14" fillId="5" borderId="0" xfId="0" applyNumberFormat="1" applyFont="1" applyFill="1"/>
    <xf numFmtId="2" fontId="15" fillId="6" borderId="0" xfId="0" applyNumberFormat="1" applyFont="1" applyFill="1"/>
    <xf numFmtId="0" fontId="16" fillId="14" borderId="0" xfId="0" applyFont="1" applyFill="1"/>
    <xf numFmtId="0" fontId="15" fillId="6" borderId="0" xfId="0" applyFont="1" applyFill="1"/>
    <xf numFmtId="171" fontId="15" fillId="12" borderId="0" xfId="0" applyNumberFormat="1" applyFont="1" applyFill="1"/>
    <xf numFmtId="172" fontId="15" fillId="0" borderId="0" xfId="0" applyNumberFormat="1" applyFont="1"/>
    <xf numFmtId="0" fontId="16" fillId="12" borderId="0" xfId="0" applyFont="1" applyFill="1"/>
    <xf numFmtId="2" fontId="15" fillId="0" borderId="0" xfId="0" applyNumberFormat="1" applyFont="1"/>
    <xf numFmtId="173" fontId="15" fillId="0" borderId="0" xfId="0" applyNumberFormat="1" applyFont="1"/>
    <xf numFmtId="1" fontId="16" fillId="14" borderId="0" xfId="0" applyNumberFormat="1" applyFont="1" applyFill="1"/>
    <xf numFmtId="164" fontId="16" fillId="14" borderId="0" xfId="0" applyNumberFormat="1" applyFont="1" applyFill="1"/>
    <xf numFmtId="1" fontId="14" fillId="6" borderId="0" xfId="0" applyNumberFormat="1" applyFont="1" applyFill="1"/>
    <xf numFmtId="164" fontId="14" fillId="6" borderId="0" xfId="0" applyNumberFormat="1" applyFont="1" applyFill="1"/>
    <xf numFmtId="174" fontId="14" fillId="0" borderId="0" xfId="0" applyNumberFormat="1" applyFont="1"/>
    <xf numFmtId="173" fontId="14" fillId="6" borderId="0" xfId="0" applyNumberFormat="1" applyFont="1" applyFill="1"/>
    <xf numFmtId="1" fontId="14" fillId="0" borderId="0" xfId="0" applyNumberFormat="1" applyFont="1"/>
    <xf numFmtId="164" fontId="14" fillId="0" borderId="0" xfId="0" applyNumberFormat="1" applyFont="1"/>
    <xf numFmtId="0" fontId="14" fillId="0" borderId="0" xfId="0" applyFont="1" applyAlignment="1">
      <alignment horizontal="center" vertical="center"/>
    </xf>
    <xf numFmtId="173" fontId="14" fillId="0" borderId="0" xfId="0" applyNumberFormat="1" applyFont="1"/>
    <xf numFmtId="0" fontId="25" fillId="14" borderId="0" xfId="0" applyFont="1" applyFill="1"/>
    <xf numFmtId="1" fontId="25" fillId="14" borderId="0" xfId="0" applyNumberFormat="1" applyFont="1" applyFill="1"/>
    <xf numFmtId="164" fontId="25" fillId="14" borderId="0" xfId="0" applyNumberFormat="1" applyFont="1" applyFill="1"/>
    <xf numFmtId="173" fontId="25" fillId="14" borderId="0" xfId="0" applyNumberFormat="1" applyFont="1" applyFill="1"/>
    <xf numFmtId="173" fontId="25" fillId="0" borderId="0" xfId="0" applyNumberFormat="1" applyFont="1"/>
    <xf numFmtId="0" fontId="26" fillId="0" borderId="0" xfId="0" applyFont="1"/>
    <xf numFmtId="1" fontId="14" fillId="12" borderId="0" xfId="0" applyNumberFormat="1" applyFont="1" applyFill="1"/>
    <xf numFmtId="164" fontId="14" fillId="12" borderId="0" xfId="0" applyNumberFormat="1" applyFont="1" applyFill="1"/>
    <xf numFmtId="173" fontId="14" fillId="12" borderId="0" xfId="0" applyNumberFormat="1" applyFont="1" applyFill="1"/>
    <xf numFmtId="171" fontId="15" fillId="0" borderId="0" xfId="0" applyNumberFormat="1" applyFont="1"/>
    <xf numFmtId="174" fontId="14" fillId="6" borderId="0" xfId="0" applyNumberFormat="1" applyFont="1" applyFill="1"/>
    <xf numFmtId="0" fontId="16" fillId="15" borderId="0" xfId="0" applyFont="1" applyFill="1"/>
    <xf numFmtId="0" fontId="27" fillId="0" borderId="0" xfId="0" applyFont="1"/>
    <xf numFmtId="1" fontId="16" fillId="0" borderId="0" xfId="0" applyNumberFormat="1" applyFont="1"/>
    <xf numFmtId="0" fontId="28" fillId="0" borderId="0" xfId="0" applyFont="1"/>
    <xf numFmtId="0" fontId="14" fillId="5" borderId="0" xfId="0" applyFont="1" applyFill="1"/>
    <xf numFmtId="0" fontId="30" fillId="0" borderId="0" xfId="0" applyFont="1"/>
    <xf numFmtId="0" fontId="31" fillId="5" borderId="0" xfId="0" applyFont="1" applyFill="1"/>
    <xf numFmtId="0" fontId="31" fillId="6" borderId="0" xfId="0" applyFont="1" applyFill="1"/>
    <xf numFmtId="0" fontId="32" fillId="3" borderId="0" xfId="0" applyFont="1" applyFill="1"/>
    <xf numFmtId="0" fontId="33" fillId="0" borderId="0" xfId="0" applyFont="1"/>
    <xf numFmtId="0" fontId="34" fillId="0" borderId="0" xfId="0" applyFont="1"/>
    <xf numFmtId="0" fontId="35" fillId="0" borderId="0" xfId="0" applyFont="1"/>
    <xf numFmtId="0" fontId="33" fillId="4" borderId="0" xfId="0" applyFont="1" applyFill="1"/>
    <xf numFmtId="0" fontId="36" fillId="0" borderId="0" xfId="0" applyFont="1"/>
    <xf numFmtId="0" fontId="33" fillId="6" borderId="0" xfId="0" applyFont="1" applyFill="1"/>
    <xf numFmtId="0" fontId="37" fillId="0" borderId="0" xfId="0" applyFont="1"/>
    <xf numFmtId="0" fontId="5" fillId="4" borderId="0" xfId="0" applyFont="1" applyFill="1"/>
    <xf numFmtId="2" fontId="5" fillId="6" borderId="0" xfId="0" applyNumberFormat="1" applyFont="1" applyFill="1"/>
    <xf numFmtId="0" fontId="5" fillId="6" borderId="0" xfId="0" applyFont="1" applyFill="1"/>
    <xf numFmtId="0" fontId="29" fillId="0" borderId="0" xfId="0" applyFont="1"/>
    <xf numFmtId="0" fontId="14" fillId="0" borderId="0" xfId="0" applyFont="1" applyAlignment="1">
      <alignment horizontal="left"/>
    </xf>
    <xf numFmtId="2" fontId="14" fillId="5" borderId="0" xfId="0" applyNumberFormat="1" applyFont="1" applyFill="1"/>
    <xf numFmtId="2" fontId="38" fillId="6" borderId="0" xfId="0" applyNumberFormat="1" applyFont="1" applyFill="1"/>
    <xf numFmtId="0" fontId="38" fillId="0" borderId="0" xfId="0" applyFont="1"/>
    <xf numFmtId="2" fontId="14" fillId="4" borderId="0" xfId="0" applyNumberFormat="1" applyFont="1" applyFill="1"/>
    <xf numFmtId="49" fontId="14" fillId="4" borderId="0" xfId="0" applyNumberFormat="1" applyFont="1" applyFill="1"/>
    <xf numFmtId="0" fontId="4" fillId="3" borderId="1" xfId="0" applyFont="1" applyFill="1" applyBorder="1" applyAlignment="1">
      <alignment horizontal="center"/>
    </xf>
    <xf numFmtId="167" fontId="4" fillId="3" borderId="1" xfId="0" applyNumberFormat="1" applyFont="1" applyFill="1" applyBorder="1" applyAlignment="1">
      <alignment horizontal="center"/>
    </xf>
    <xf numFmtId="0" fontId="39" fillId="0" borderId="1" xfId="0" applyFont="1" applyBorder="1"/>
    <xf numFmtId="167" fontId="40" fillId="6" borderId="0" xfId="0" applyNumberFormat="1" applyFont="1" applyFill="1"/>
    <xf numFmtId="0" fontId="40" fillId="0" borderId="1" xfId="0" applyFont="1" applyBorder="1"/>
    <xf numFmtId="167" fontId="11" fillId="6" borderId="0" xfId="0" applyNumberFormat="1" applyFont="1" applyFill="1"/>
    <xf numFmtId="0" fontId="11" fillId="0" borderId="1" xfId="0" applyFont="1" applyBorder="1"/>
    <xf numFmtId="0" fontId="10" fillId="0" borderId="1" xfId="0" applyFont="1" applyBorder="1"/>
    <xf numFmtId="2" fontId="11" fillId="0" borderId="1" xfId="0" applyNumberFormat="1" applyFont="1" applyBorder="1"/>
    <xf numFmtId="0" fontId="4" fillId="3" borderId="1" xfId="0" applyFont="1" applyFill="1" applyBorder="1"/>
    <xf numFmtId="0" fontId="39" fillId="0" borderId="0" xfId="0" applyFont="1"/>
    <xf numFmtId="0" fontId="41" fillId="0" borderId="3" xfId="0" applyFont="1" applyBorder="1"/>
    <xf numFmtId="0" fontId="33" fillId="0" borderId="3" xfId="0" applyFont="1" applyBorder="1"/>
    <xf numFmtId="0" fontId="42" fillId="16" borderId="3" xfId="0" applyFont="1" applyFill="1" applyBorder="1"/>
    <xf numFmtId="0" fontId="33" fillId="16" borderId="3" xfId="0" applyFont="1" applyFill="1" applyBorder="1"/>
    <xf numFmtId="0" fontId="33" fillId="17" borderId="3" xfId="0" applyFont="1" applyFill="1" applyBorder="1"/>
    <xf numFmtId="0" fontId="33" fillId="18" borderId="3" xfId="0" applyFont="1" applyFill="1" applyBorder="1"/>
    <xf numFmtId="2" fontId="33" fillId="0" borderId="3" xfId="0" applyNumberFormat="1" applyFont="1" applyBorder="1"/>
    <xf numFmtId="164" fontId="33" fillId="0" borderId="3" xfId="0" applyNumberFormat="1" applyFont="1" applyBorder="1"/>
    <xf numFmtId="0" fontId="43" fillId="0" borderId="3" xfId="0" applyFont="1" applyBorder="1"/>
    <xf numFmtId="0" fontId="43" fillId="19" borderId="3" xfId="0" applyFont="1" applyFill="1" applyBorder="1"/>
    <xf numFmtId="0" fontId="44" fillId="19" borderId="3" xfId="0" applyFont="1" applyFill="1" applyBorder="1"/>
    <xf numFmtId="0" fontId="42" fillId="20" borderId="3" xfId="0" applyFont="1" applyFill="1" applyBorder="1"/>
    <xf numFmtId="0" fontId="33" fillId="20" borderId="3" xfId="0" applyFont="1" applyFill="1" applyBorder="1"/>
    <xf numFmtId="0" fontId="33" fillId="19" borderId="3" xfId="0" applyFont="1" applyFill="1" applyBorder="1"/>
    <xf numFmtId="0" fontId="45" fillId="0" borderId="3" xfId="0" applyFont="1" applyBorder="1"/>
    <xf numFmtId="164" fontId="33" fillId="16" borderId="3" xfId="0" applyNumberFormat="1" applyFont="1" applyFill="1" applyBorder="1"/>
    <xf numFmtId="0" fontId="44" fillId="0" borderId="3" xfId="0" applyFont="1" applyBorder="1"/>
    <xf numFmtId="0" fontId="34" fillId="0" borderId="3" xfId="0" applyFont="1" applyBorder="1"/>
    <xf numFmtId="0" fontId="46" fillId="0" borderId="0" xfId="0" applyFont="1"/>
    <xf numFmtId="0" fontId="7" fillId="0" borderId="0" xfId="0" applyFont="1" applyAlignment="1">
      <alignment vertical="top" wrapText="1"/>
    </xf>
    <xf numFmtId="0" fontId="7" fillId="21" borderId="0" xfId="0" applyFont="1" applyFill="1"/>
    <xf numFmtId="167" fontId="11" fillId="9" borderId="1" xfId="0" applyNumberFormat="1" applyFont="1" applyFill="1" applyBorder="1"/>
    <xf numFmtId="2" fontId="11" fillId="0" borderId="0" xfId="0" applyNumberFormat="1" applyFont="1"/>
    <xf numFmtId="167" fontId="11" fillId="0" borderId="0" xfId="0" applyNumberFormat="1" applyFont="1"/>
    <xf numFmtId="0" fontId="10" fillId="9" borderId="0" xfId="0" applyFont="1" applyFill="1" applyAlignment="1">
      <alignment horizontal="center" vertical="center"/>
    </xf>
    <xf numFmtId="0" fontId="11" fillId="9" borderId="1" xfId="0" applyFont="1" applyFill="1" applyBorder="1" applyAlignment="1">
      <alignment horizontal="center" vertical="center"/>
    </xf>
    <xf numFmtId="0" fontId="11" fillId="0" borderId="0" xfId="0" applyFont="1" applyAlignment="1">
      <alignment horizontal="center" vertical="center"/>
    </xf>
    <xf numFmtId="2" fontId="14" fillId="0" borderId="0" xfId="0" applyNumberFormat="1" applyFont="1"/>
    <xf numFmtId="9" fontId="14" fillId="12" borderId="0" xfId="0" applyNumberFormat="1" applyFont="1" applyFill="1"/>
    <xf numFmtId="2" fontId="11" fillId="9" borderId="1" xfId="0" applyNumberFormat="1" applyFont="1" applyFill="1" applyBorder="1"/>
    <xf numFmtId="169" fontId="11" fillId="0" borderId="0" xfId="0" applyNumberFormat="1" applyFont="1"/>
    <xf numFmtId="0" fontId="48" fillId="22" borderId="1" xfId="0" applyFont="1" applyFill="1" applyBorder="1" applyAlignment="1">
      <alignment horizontal="center"/>
    </xf>
    <xf numFmtId="0" fontId="11" fillId="9" borderId="1" xfId="0" applyFont="1" applyFill="1" applyBorder="1"/>
    <xf numFmtId="0" fontId="10" fillId="23" borderId="1" xfId="0" applyFont="1" applyFill="1" applyBorder="1"/>
    <xf numFmtId="2" fontId="11" fillId="23" borderId="1" xfId="0" applyNumberFormat="1" applyFont="1" applyFill="1" applyBorder="1"/>
    <xf numFmtId="0" fontId="10" fillId="24" borderId="1" xfId="0" applyFont="1" applyFill="1" applyBorder="1"/>
    <xf numFmtId="2" fontId="11" fillId="24" borderId="1" xfId="0" applyNumberFormat="1" applyFont="1" applyFill="1" applyBorder="1"/>
    <xf numFmtId="2" fontId="11" fillId="24" borderId="0" xfId="0" applyNumberFormat="1" applyFont="1" applyFill="1"/>
    <xf numFmtId="0" fontId="10" fillId="25" borderId="1" xfId="0" applyFont="1" applyFill="1" applyBorder="1"/>
    <xf numFmtId="2" fontId="11" fillId="25" borderId="1" xfId="0" applyNumberFormat="1" applyFont="1" applyFill="1" applyBorder="1"/>
    <xf numFmtId="2" fontId="11" fillId="25" borderId="0" xfId="0" applyNumberFormat="1" applyFont="1" applyFill="1"/>
    <xf numFmtId="0" fontId="10" fillId="26" borderId="1" xfId="0" applyFont="1" applyFill="1" applyBorder="1"/>
    <xf numFmtId="2" fontId="11" fillId="26" borderId="1" xfId="0" applyNumberFormat="1" applyFont="1" applyFill="1" applyBorder="1"/>
    <xf numFmtId="2" fontId="11" fillId="26" borderId="0" xfId="0" applyNumberFormat="1" applyFont="1" applyFill="1"/>
    <xf numFmtId="0" fontId="11" fillId="9" borderId="1" xfId="0" applyFont="1" applyFill="1" applyBorder="1" applyAlignment="1">
      <alignment wrapText="1"/>
    </xf>
    <xf numFmtId="0" fontId="11" fillId="23" borderId="1" xfId="0" applyFont="1" applyFill="1" applyBorder="1" applyAlignment="1">
      <alignment wrapText="1"/>
    </xf>
    <xf numFmtId="0" fontId="11" fillId="0" borderId="0" xfId="0" applyFont="1" applyAlignment="1">
      <alignment wrapText="1"/>
    </xf>
    <xf numFmtId="9" fontId="11" fillId="9" borderId="1" xfId="0" applyNumberFormat="1" applyFont="1" applyFill="1" applyBorder="1"/>
    <xf numFmtId="0" fontId="11" fillId="23" borderId="1" xfId="0" applyFont="1" applyFill="1" applyBorder="1"/>
    <xf numFmtId="9" fontId="11" fillId="23" borderId="1" xfId="0" applyNumberFormat="1" applyFont="1" applyFill="1" applyBorder="1"/>
    <xf numFmtId="0" fontId="49" fillId="22" borderId="1" xfId="0" applyFont="1" applyFill="1" applyBorder="1" applyAlignment="1">
      <alignment horizontal="center"/>
    </xf>
    <xf numFmtId="0" fontId="44" fillId="0" borderId="0" xfId="0" applyFont="1"/>
    <xf numFmtId="0" fontId="49" fillId="0" borderId="4" xfId="0" applyFont="1" applyBorder="1"/>
    <xf numFmtId="0" fontId="14" fillId="0" borderId="4" xfId="0" applyFont="1" applyBorder="1"/>
    <xf numFmtId="0" fontId="49" fillId="0" borderId="0" xfId="0" applyFont="1"/>
    <xf numFmtId="0" fontId="1" fillId="2" borderId="0" xfId="0" applyFont="1" applyFill="1" applyAlignment="1">
      <alignment vertical="center"/>
    </xf>
    <xf numFmtId="0" fontId="0" fillId="0" borderId="0" xfId="0"/>
    <xf numFmtId="0" fontId="5" fillId="0" borderId="0" xfId="0" applyFont="1" applyAlignment="1">
      <alignment vertical="top" wrapText="1"/>
    </xf>
    <xf numFmtId="0" fontId="5" fillId="0" borderId="0" xfId="0" applyFont="1"/>
    <xf numFmtId="0" fontId="4" fillId="3" borderId="0" xfId="0" applyFont="1" applyFill="1"/>
    <xf numFmtId="0" fontId="5" fillId="0" borderId="0" xfId="0" applyFont="1" applyAlignment="1">
      <alignment vertical="center" wrapText="1"/>
    </xf>
    <xf numFmtId="0" fontId="4" fillId="3" borderId="0" xfId="0" applyFont="1" applyFill="1" applyAlignment="1">
      <alignment vertical="top" wrapText="1"/>
    </xf>
    <xf numFmtId="0" fontId="6" fillId="0" borderId="0" xfId="0" applyFont="1" applyAlignment="1">
      <alignment horizontal="center" vertical="center"/>
    </xf>
    <xf numFmtId="0" fontId="4" fillId="3" borderId="0" xfId="0" applyFont="1" applyFill="1" applyAlignment="1">
      <alignment horizontal="left" vertical="center"/>
    </xf>
    <xf numFmtId="0" fontId="19" fillId="13" borderId="0" xfId="0" applyFont="1" applyFill="1"/>
    <xf numFmtId="0" fontId="15" fillId="12" borderId="0" xfId="0" applyFont="1" applyFill="1"/>
    <xf numFmtId="0" fontId="29" fillId="0" borderId="0" xfId="0" applyFont="1" applyAlignment="1">
      <alignment horizontal="center"/>
    </xf>
    <xf numFmtId="0" fontId="32" fillId="3" borderId="0" xfId="0" applyFont="1" applyFill="1"/>
    <xf numFmtId="0" fontId="5" fillId="4" borderId="0" xfId="0" applyFont="1" applyFill="1"/>
    <xf numFmtId="0" fontId="5" fillId="0" borderId="0" xfId="0" applyFont="1" applyAlignment="1">
      <alignment wrapText="1"/>
    </xf>
    <xf numFmtId="0" fontId="38" fillId="0" borderId="0" xfId="0" applyFont="1"/>
    <xf numFmtId="0" fontId="47" fillId="0" borderId="0" xfId="0" applyFont="1"/>
  </cellXfs>
  <cellStyles count="1">
    <cellStyle name="Normal" xfId="0" builtinId="0"/>
  </cellStyles>
  <dxfs count="2">
    <dxf>
      <fill>
        <patternFill patternType="solid">
          <fgColor rgb="FFCCFFCC"/>
          <bgColor rgb="FFCCFFCC"/>
        </patternFill>
      </fill>
    </dxf>
    <dxf>
      <fill>
        <patternFill patternType="solid">
          <fgColor rgb="FFFFFFCC"/>
          <bgColor rgb="FFFFFF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Stage Additions</a:t>
            </a:r>
          </a:p>
        </c:rich>
      </c:tx>
      <c:overlay val="0"/>
      <c:spPr>
        <a:noFill/>
        <a:ln w="0">
          <a:noFill/>
          <a:prstDash val="solid"/>
        </a:ln>
      </c:spPr>
    </c:title>
    <c:autoTitleDeleted val="0"/>
    <c:plotArea>
      <c:layout/>
      <c:barChart>
        <c:barDir val="col"/>
        <c:grouping val="stacked"/>
        <c:varyColors val="0"/>
        <c:ser>
          <c:idx val="0"/>
          <c:order val="0"/>
          <c:tx>
            <c:strRef>
              <c:f>_Allocations!$C$44</c:f>
              <c:strCache>
                <c:ptCount val="1"/>
                <c:pt idx="0">
                  <c:v>Kakemai</c:v>
                </c:pt>
              </c:strCache>
            </c:strRef>
          </c:tx>
          <c:spPr>
            <a:solidFill>
              <a:srgbClr val="E8D4A8"/>
            </a:solidFill>
            <a:ln w="0">
              <a:no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_Allocations!$A$45:$A$49</c:f>
              <c:strCache>
                <c:ptCount val="5"/>
                <c:pt idx="0">
                  <c:v>Moto</c:v>
                </c:pt>
                <c:pt idx="1">
                  <c:v>Soe</c:v>
                </c:pt>
                <c:pt idx="2">
                  <c:v>Naka</c:v>
                </c:pt>
                <c:pt idx="3">
                  <c:v>Tome</c:v>
                </c:pt>
                <c:pt idx="4">
                  <c:v>Yondan</c:v>
                </c:pt>
              </c:strCache>
            </c:strRef>
          </c:cat>
          <c:val>
            <c:numRef>
              <c:f>_Allocations!$C$45:$C$49</c:f>
              <c:numCache>
                <c:formatCode>General</c:formatCode>
                <c:ptCount val="5"/>
                <c:pt idx="0">
                  <c:v>4.6431000000000004</c:v>
                </c:pt>
                <c:pt idx="1">
                  <c:v>13.810499999999999</c:v>
                </c:pt>
                <c:pt idx="2">
                  <c:v>32.224499999999999</c:v>
                </c:pt>
                <c:pt idx="3">
                  <c:v>46.034999999999997</c:v>
                </c:pt>
                <c:pt idx="4">
                  <c:v>0</c:v>
                </c:pt>
              </c:numCache>
            </c:numRef>
          </c:val>
          <c:extLst>
            <c:ext xmlns:c16="http://schemas.microsoft.com/office/drawing/2014/chart" uri="{C3380CC4-5D6E-409C-BE32-E72D297353CC}">
              <c16:uniqueId val="{00000000-CFE9-EF4C-8A58-50ABB5B2388F}"/>
            </c:ext>
          </c:extLst>
        </c:ser>
        <c:ser>
          <c:idx val="1"/>
          <c:order val="1"/>
          <c:tx>
            <c:strRef>
              <c:f>_Allocations!$D$44</c:f>
              <c:strCache>
                <c:ptCount val="1"/>
                <c:pt idx="0">
                  <c:v>Koji</c:v>
                </c:pt>
              </c:strCache>
            </c:strRef>
          </c:tx>
          <c:spPr>
            <a:solidFill>
              <a:srgbClr val="8FBC8F"/>
            </a:solidFill>
            <a:ln w="0">
              <a:no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_Allocations!$A$45:$A$49</c:f>
              <c:strCache>
                <c:ptCount val="5"/>
                <c:pt idx="0">
                  <c:v>Moto</c:v>
                </c:pt>
                <c:pt idx="1">
                  <c:v>Soe</c:v>
                </c:pt>
                <c:pt idx="2">
                  <c:v>Naka</c:v>
                </c:pt>
                <c:pt idx="3">
                  <c:v>Tome</c:v>
                </c:pt>
                <c:pt idx="4">
                  <c:v>Yondan</c:v>
                </c:pt>
              </c:strCache>
            </c:strRef>
          </c:cat>
          <c:val>
            <c:numRef>
              <c:f>_Allocations!$D$45:$D$49</c:f>
              <c:numCache>
                <c:formatCode>General</c:formatCode>
                <c:ptCount val="5"/>
                <c:pt idx="0">
                  <c:v>2.2869000000000002</c:v>
                </c:pt>
                <c:pt idx="1">
                  <c:v>5.4580680000000008</c:v>
                </c:pt>
                <c:pt idx="2">
                  <c:v>4.2884820000000001</c:v>
                </c:pt>
                <c:pt idx="3">
                  <c:v>3.5087580000000003</c:v>
                </c:pt>
                <c:pt idx="4">
                  <c:v>0</c:v>
                </c:pt>
              </c:numCache>
            </c:numRef>
          </c:val>
          <c:extLst>
            <c:ext xmlns:c16="http://schemas.microsoft.com/office/drawing/2014/chart" uri="{C3380CC4-5D6E-409C-BE32-E72D297353CC}">
              <c16:uniqueId val="{00000001-CFE9-EF4C-8A58-50ABB5B2388F}"/>
            </c:ext>
          </c:extLst>
        </c:ser>
        <c:ser>
          <c:idx val="2"/>
          <c:order val="2"/>
          <c:tx>
            <c:strRef>
              <c:f>_Allocations!$E$44</c:f>
              <c:strCache>
                <c:ptCount val="1"/>
                <c:pt idx="0">
                  <c:v>Water</c:v>
                </c:pt>
              </c:strCache>
            </c:strRef>
          </c:tx>
          <c:spPr>
            <a:solidFill>
              <a:srgbClr val="6495ED"/>
            </a:solidFill>
            <a:ln w="0">
              <a:no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_Allocations!$A$45:$A$49</c:f>
              <c:strCache>
                <c:ptCount val="5"/>
                <c:pt idx="0">
                  <c:v>Moto</c:v>
                </c:pt>
                <c:pt idx="1">
                  <c:v>Soe</c:v>
                </c:pt>
                <c:pt idx="2">
                  <c:v>Naka</c:v>
                </c:pt>
                <c:pt idx="3">
                  <c:v>Tome</c:v>
                </c:pt>
                <c:pt idx="4">
                  <c:v>Yondan</c:v>
                </c:pt>
              </c:strCache>
            </c:strRef>
          </c:cat>
          <c:val>
            <c:numRef>
              <c:f>_Allocations!$E$45:$E$49</c:f>
              <c:numCache>
                <c:formatCode>General</c:formatCode>
                <c:ptCount val="5"/>
                <c:pt idx="0">
                  <c:v>7.6230000000000011</c:v>
                </c:pt>
                <c:pt idx="1">
                  <c:v>13.119974999999998</c:v>
                </c:pt>
                <c:pt idx="2">
                  <c:v>40.280625000000001</c:v>
                </c:pt>
                <c:pt idx="3">
                  <c:v>66.750749999999996</c:v>
                </c:pt>
                <c:pt idx="4">
                  <c:v>0</c:v>
                </c:pt>
              </c:numCache>
            </c:numRef>
          </c:val>
          <c:extLst>
            <c:ext xmlns:c16="http://schemas.microsoft.com/office/drawing/2014/chart" uri="{C3380CC4-5D6E-409C-BE32-E72D297353CC}">
              <c16:uniqueId val="{00000002-CFE9-EF4C-8A58-50ABB5B2388F}"/>
            </c:ext>
          </c:extLst>
        </c:ser>
        <c:dLbls>
          <c:showLegendKey val="0"/>
          <c:showVal val="0"/>
          <c:showCatName val="0"/>
          <c:showSerName val="0"/>
          <c:showPercent val="0"/>
          <c:showBubbleSize val="0"/>
        </c:dLbls>
        <c:gapWidth val="150"/>
        <c:overlap val="100"/>
        <c:axId val="52138557"/>
        <c:axId val="15373691"/>
      </c:barChart>
      <c:catAx>
        <c:axId val="52138557"/>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5373691"/>
        <c:crosses val="autoZero"/>
        <c:auto val="1"/>
        <c:lblAlgn val="ctr"/>
        <c:lblOffset val="100"/>
        <c:noMultiLvlLbl val="0"/>
      </c:catAx>
      <c:valAx>
        <c:axId val="15373691"/>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Amount</a:t>
                </a:r>
              </a:p>
            </c:rich>
          </c:tx>
          <c:overlay val="0"/>
          <c:spPr>
            <a:noFill/>
            <a:ln w="0">
              <a:noFill/>
              <a:prstDash val="solid"/>
            </a:ln>
          </c:spPr>
        </c:title>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52138557"/>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457200</xdr:colOff>
      <xdr:row>5</xdr:row>
      <xdr:rowOff>57150</xdr:rowOff>
    </xdr:from>
    <xdr:ext cx="952500" cy="952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26</xdr:row>
      <xdr:rowOff>0</xdr:rowOff>
    </xdr:from>
    <xdr:to>
      <xdr:col>6</xdr:col>
      <xdr:colOff>199800</xdr:colOff>
      <xdr:row>36</xdr:row>
      <xdr:rowOff>169200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brewsake.org/donat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1"/>
  <sheetViews>
    <sheetView zoomScale="120" workbookViewId="0">
      <selection sqref="A1:C1"/>
    </sheetView>
  </sheetViews>
  <sheetFormatPr baseColWidth="10" defaultColWidth="8.83203125" defaultRowHeight="15"/>
  <cols>
    <col min="1" max="1" width="28" customWidth="1"/>
    <col min="2" max="2" width="45" customWidth="1"/>
    <col min="3" max="3" width="50" customWidth="1"/>
  </cols>
  <sheetData>
    <row r="1" spans="1:3" ht="30" customHeight="1">
      <c r="A1" s="213" t="s">
        <v>0</v>
      </c>
      <c r="B1" s="214"/>
      <c r="C1" s="214"/>
    </row>
    <row r="2" spans="1:3">
      <c r="A2" s="1" t="s">
        <v>1</v>
      </c>
    </row>
    <row r="3" spans="1:3">
      <c r="A3" s="2" t="s">
        <v>2</v>
      </c>
    </row>
    <row r="5" spans="1:3">
      <c r="A5" s="217" t="s">
        <v>3</v>
      </c>
      <c r="B5" s="214"/>
      <c r="C5" s="214"/>
    </row>
    <row r="6" spans="1:3" ht="28" customHeight="1">
      <c r="A6" s="214"/>
      <c r="B6" s="218" t="s">
        <v>4</v>
      </c>
      <c r="C6" s="220" t="s">
        <v>5</v>
      </c>
    </row>
    <row r="7" spans="1:3" ht="28" customHeight="1">
      <c r="A7" s="214"/>
      <c r="B7" s="214"/>
      <c r="C7" s="214"/>
    </row>
    <row r="8" spans="1:3" ht="28" customHeight="1">
      <c r="A8" s="214"/>
      <c r="B8" s="214"/>
      <c r="C8" s="214"/>
    </row>
    <row r="9" spans="1:3">
      <c r="A9" s="217" t="s">
        <v>6</v>
      </c>
      <c r="B9" s="214"/>
      <c r="C9" s="214"/>
    </row>
    <row r="11" spans="1:3">
      <c r="A11" s="4" t="s">
        <v>7</v>
      </c>
    </row>
    <row r="12" spans="1:3">
      <c r="A12" s="4" t="s">
        <v>8</v>
      </c>
    </row>
    <row r="13" spans="1:3">
      <c r="A13" s="4" t="s">
        <v>9</v>
      </c>
    </row>
    <row r="14" spans="1:3">
      <c r="A14" s="4" t="s">
        <v>10</v>
      </c>
    </row>
    <row r="15" spans="1:3">
      <c r="A15" s="4" t="s">
        <v>11</v>
      </c>
    </row>
    <row r="16" spans="1:3">
      <c r="A16" s="4" t="s">
        <v>12</v>
      </c>
    </row>
    <row r="17" spans="1:3">
      <c r="A17" s="4" t="s">
        <v>13</v>
      </c>
    </row>
    <row r="18" spans="1:3">
      <c r="A18" s="4" t="s">
        <v>14</v>
      </c>
    </row>
    <row r="20" spans="1:3">
      <c r="A20" s="217" t="s">
        <v>15</v>
      </c>
      <c r="B20" s="214"/>
      <c r="C20" s="214"/>
    </row>
    <row r="22" spans="1:3">
      <c r="A22" s="5" t="s">
        <v>16</v>
      </c>
      <c r="B22" s="6" t="s">
        <v>17</v>
      </c>
      <c r="C22" s="4" t="s">
        <v>18</v>
      </c>
    </row>
    <row r="23" spans="1:3">
      <c r="A23" s="5" t="s">
        <v>19</v>
      </c>
      <c r="B23" s="7" t="s">
        <v>20</v>
      </c>
      <c r="C23" s="4" t="s">
        <v>21</v>
      </c>
    </row>
    <row r="24" spans="1:3">
      <c r="A24" s="5" t="s">
        <v>22</v>
      </c>
      <c r="B24" s="8" t="s">
        <v>20</v>
      </c>
      <c r="C24" s="4" t="s">
        <v>23</v>
      </c>
    </row>
    <row r="25" spans="1:3">
      <c r="A25" s="5" t="s">
        <v>24</v>
      </c>
      <c r="B25" s="9" t="s">
        <v>20</v>
      </c>
      <c r="C25" s="4" t="s">
        <v>25</v>
      </c>
    </row>
    <row r="26" spans="1:3">
      <c r="A26" s="5" t="s">
        <v>26</v>
      </c>
      <c r="B26" s="10" t="s">
        <v>27</v>
      </c>
      <c r="C26" s="4" t="s">
        <v>28</v>
      </c>
    </row>
    <row r="27" spans="1:3">
      <c r="A27" s="5" t="s">
        <v>29</v>
      </c>
      <c r="B27" s="10" t="s">
        <v>30</v>
      </c>
      <c r="C27" s="4" t="s">
        <v>31</v>
      </c>
    </row>
    <row r="28" spans="1:3">
      <c r="A28" s="5"/>
      <c r="B28" s="10"/>
      <c r="C28" s="4"/>
    </row>
    <row r="30" spans="1:3">
      <c r="A30" s="219" t="s">
        <v>32</v>
      </c>
      <c r="B30" s="214"/>
      <c r="C30" s="214"/>
    </row>
    <row r="31" spans="1:3">
      <c r="A31" s="214"/>
      <c r="B31" s="214"/>
      <c r="C31" s="214"/>
    </row>
    <row r="32" spans="1:3" ht="70" customHeight="1">
      <c r="A32" s="215" t="s">
        <v>33</v>
      </c>
      <c r="B32" s="214"/>
      <c r="C32" s="214"/>
    </row>
    <row r="33" spans="1:3">
      <c r="A33" s="214"/>
      <c r="B33" s="214"/>
      <c r="C33" s="214"/>
    </row>
    <row r="34" spans="1:3" ht="95" customHeight="1">
      <c r="A34" s="215" t="s">
        <v>34</v>
      </c>
      <c r="B34" s="214"/>
      <c r="C34" s="214"/>
    </row>
    <row r="35" spans="1:3">
      <c r="A35" s="214"/>
      <c r="B35" s="214"/>
      <c r="C35" s="214"/>
    </row>
    <row r="36" spans="1:3" ht="95" customHeight="1">
      <c r="A36" s="215" t="s">
        <v>35</v>
      </c>
      <c r="B36" s="214"/>
      <c r="C36" s="214"/>
    </row>
    <row r="37" spans="1:3">
      <c r="A37" s="214"/>
      <c r="B37" s="214"/>
      <c r="C37" s="214"/>
    </row>
    <row r="38" spans="1:3" ht="95" customHeight="1">
      <c r="A38" s="215" t="s">
        <v>36</v>
      </c>
      <c r="B38" s="214"/>
      <c r="C38" s="214"/>
    </row>
    <row r="39" spans="1:3">
      <c r="A39" s="214"/>
      <c r="B39" s="214"/>
      <c r="C39" s="214"/>
    </row>
    <row r="40" spans="1:3" ht="85" customHeight="1">
      <c r="A40" s="215" t="s">
        <v>37</v>
      </c>
      <c r="B40" s="214"/>
      <c r="C40" s="214"/>
    </row>
    <row r="41" spans="1:3">
      <c r="A41" s="214"/>
      <c r="B41" s="214"/>
      <c r="C41" s="214"/>
    </row>
    <row r="42" spans="1:3" ht="85" customHeight="1">
      <c r="A42" s="215" t="s">
        <v>38</v>
      </c>
      <c r="B42" s="214"/>
      <c r="C42" s="214"/>
    </row>
    <row r="43" spans="1:3">
      <c r="A43" s="214"/>
      <c r="B43" s="214"/>
      <c r="C43" s="214"/>
    </row>
    <row r="44" spans="1:3" ht="85" customHeight="1">
      <c r="A44" s="215" t="s">
        <v>39</v>
      </c>
      <c r="B44" s="214"/>
      <c r="C44" s="214"/>
    </row>
    <row r="45" spans="1:3">
      <c r="A45" s="214"/>
      <c r="B45" s="214"/>
      <c r="C45" s="214"/>
    </row>
    <row r="46" spans="1:3">
      <c r="A46" s="217" t="s">
        <v>40</v>
      </c>
      <c r="B46" s="214"/>
      <c r="C46" s="214"/>
    </row>
    <row r="48" spans="1:3" ht="55" customHeight="1">
      <c r="A48" s="215" t="s">
        <v>41</v>
      </c>
      <c r="B48" s="214"/>
      <c r="C48" s="214"/>
    </row>
    <row r="50" spans="1:3">
      <c r="A50" s="217" t="s">
        <v>42</v>
      </c>
      <c r="B50" s="214"/>
      <c r="C50" s="214"/>
    </row>
    <row r="52" spans="1:3">
      <c r="A52" s="12" t="s">
        <v>43</v>
      </c>
    </row>
    <row r="53" spans="1:3">
      <c r="A53" s="4" t="s">
        <v>44</v>
      </c>
    </row>
    <row r="54" spans="1:3">
      <c r="A54" s="4" t="s">
        <v>45</v>
      </c>
    </row>
    <row r="55" spans="1:3">
      <c r="A55" s="4" t="s">
        <v>46</v>
      </c>
    </row>
    <row r="56" spans="1:3">
      <c r="A56" s="4" t="s">
        <v>47</v>
      </c>
    </row>
    <row r="57" spans="1:3">
      <c r="A57" s="4" t="s">
        <v>48</v>
      </c>
    </row>
    <row r="59" spans="1:3">
      <c r="A59" s="12" t="s">
        <v>49</v>
      </c>
    </row>
    <row r="60" spans="1:3">
      <c r="A60" s="4" t="s">
        <v>50</v>
      </c>
    </row>
    <row r="61" spans="1:3">
      <c r="A61" s="4" t="s">
        <v>51</v>
      </c>
    </row>
    <row r="62" spans="1:3">
      <c r="A62" s="4" t="s">
        <v>52</v>
      </c>
    </row>
    <row r="63" spans="1:3">
      <c r="A63" s="4" t="s">
        <v>53</v>
      </c>
    </row>
    <row r="64" spans="1:3">
      <c r="A64" s="4" t="s">
        <v>54</v>
      </c>
    </row>
    <row r="65" spans="1:3">
      <c r="A65" s="4" t="s">
        <v>55</v>
      </c>
    </row>
    <row r="67" spans="1:3">
      <c r="A67" s="12" t="s">
        <v>56</v>
      </c>
    </row>
    <row r="68" spans="1:3">
      <c r="A68" s="4" t="s">
        <v>57</v>
      </c>
    </row>
    <row r="69" spans="1:3">
      <c r="A69" s="4" t="s">
        <v>58</v>
      </c>
    </row>
    <row r="70" spans="1:3">
      <c r="A70" s="4" t="s">
        <v>59</v>
      </c>
    </row>
    <row r="71" spans="1:3">
      <c r="A71" s="4" t="s">
        <v>60</v>
      </c>
    </row>
    <row r="72" spans="1:3">
      <c r="A72" s="4" t="s">
        <v>61</v>
      </c>
    </row>
    <row r="73" spans="1:3">
      <c r="A73" s="4" t="s">
        <v>62</v>
      </c>
    </row>
    <row r="75" spans="1:3">
      <c r="A75" s="217" t="s">
        <v>63</v>
      </c>
      <c r="B75" s="214"/>
      <c r="C75" s="214"/>
    </row>
    <row r="77" spans="1:3">
      <c r="A77" s="12" t="s">
        <v>64</v>
      </c>
    </row>
    <row r="78" spans="1:3">
      <c r="A78" s="5" t="s">
        <v>65</v>
      </c>
      <c r="B78" s="216" t="s">
        <v>66</v>
      </c>
      <c r="C78" s="214"/>
    </row>
    <row r="79" spans="1:3">
      <c r="A79" s="5" t="s">
        <v>67</v>
      </c>
      <c r="B79" s="216" t="s">
        <v>68</v>
      </c>
      <c r="C79" s="214"/>
    </row>
    <row r="80" spans="1:3">
      <c r="A80" s="5" t="s">
        <v>69</v>
      </c>
      <c r="B80" s="216" t="s">
        <v>70</v>
      </c>
      <c r="C80" s="214"/>
    </row>
    <row r="81" spans="1:3">
      <c r="A81" s="5" t="s">
        <v>71</v>
      </c>
      <c r="B81" s="216" t="s">
        <v>72</v>
      </c>
      <c r="C81" s="214"/>
    </row>
    <row r="83" spans="1:3">
      <c r="A83" s="12" t="s">
        <v>73</v>
      </c>
    </row>
    <row r="84" spans="1:3">
      <c r="A84" s="5" t="s">
        <v>74</v>
      </c>
      <c r="B84" s="216" t="s">
        <v>75</v>
      </c>
      <c r="C84" s="214"/>
    </row>
    <row r="85" spans="1:3">
      <c r="A85" s="5" t="s">
        <v>76</v>
      </c>
      <c r="B85" s="216" t="s">
        <v>77</v>
      </c>
      <c r="C85" s="214"/>
    </row>
    <row r="86" spans="1:3">
      <c r="A86" s="5" t="s">
        <v>78</v>
      </c>
      <c r="B86" s="216" t="s">
        <v>79</v>
      </c>
      <c r="C86" s="214"/>
    </row>
    <row r="88" spans="1:3">
      <c r="A88" s="217" t="s">
        <v>80</v>
      </c>
      <c r="B88" s="214"/>
      <c r="C88" s="214"/>
    </row>
    <row r="90" spans="1:3">
      <c r="A90" s="12" t="s">
        <v>81</v>
      </c>
    </row>
    <row r="91" spans="1:3" ht="30" customHeight="1">
      <c r="A91" s="215" t="s">
        <v>82</v>
      </c>
      <c r="B91" s="214"/>
      <c r="C91" s="214"/>
    </row>
    <row r="93" spans="1:3">
      <c r="A93" s="12" t="s">
        <v>83</v>
      </c>
    </row>
    <row r="94" spans="1:3" ht="30" customHeight="1">
      <c r="A94" s="215" t="s">
        <v>84</v>
      </c>
      <c r="B94" s="214"/>
      <c r="C94" s="214"/>
    </row>
    <row r="96" spans="1:3">
      <c r="A96" s="12" t="s">
        <v>85</v>
      </c>
    </row>
    <row r="97" spans="1:3" ht="30" customHeight="1">
      <c r="A97" s="215" t="s">
        <v>86</v>
      </c>
      <c r="B97" s="214"/>
      <c r="C97" s="214"/>
    </row>
    <row r="99" spans="1:3">
      <c r="A99" s="219" t="s">
        <v>87</v>
      </c>
      <c r="B99" s="214"/>
      <c r="C99" s="214"/>
    </row>
    <row r="100" spans="1:3">
      <c r="A100" s="214"/>
      <c r="B100" s="214"/>
      <c r="C100" s="214"/>
    </row>
    <row r="101" spans="1:3" ht="70" customHeight="1">
      <c r="A101" s="215" t="s">
        <v>88</v>
      </c>
      <c r="B101" s="214"/>
      <c r="C101" s="214"/>
    </row>
    <row r="102" spans="1:3">
      <c r="A102" s="214"/>
      <c r="B102" s="214"/>
      <c r="C102" s="214"/>
    </row>
    <row r="103" spans="1:3" ht="55" customHeight="1">
      <c r="A103" s="215" t="s">
        <v>89</v>
      </c>
      <c r="B103" s="214"/>
      <c r="C103" s="214"/>
    </row>
    <row r="104" spans="1:3">
      <c r="A104" s="214"/>
      <c r="B104" s="214"/>
      <c r="C104" s="214"/>
    </row>
    <row r="105" spans="1:3" ht="50" customHeight="1">
      <c r="A105" s="215" t="s">
        <v>90</v>
      </c>
      <c r="B105" s="214"/>
      <c r="C105" s="214"/>
    </row>
    <row r="106" spans="1:3">
      <c r="A106" s="214"/>
      <c r="B106" s="214"/>
      <c r="C106" s="214"/>
    </row>
    <row r="107" spans="1:3" ht="85" customHeight="1">
      <c r="A107" s="215" t="s">
        <v>91</v>
      </c>
      <c r="B107" s="214"/>
      <c r="C107" s="214"/>
    </row>
    <row r="108" spans="1:3">
      <c r="A108" s="214"/>
      <c r="B108" s="214"/>
      <c r="C108" s="214"/>
    </row>
    <row r="109" spans="1:3" ht="55" customHeight="1">
      <c r="A109" s="215" t="s">
        <v>92</v>
      </c>
      <c r="B109" s="214"/>
      <c r="C109" s="214"/>
    </row>
    <row r="110" spans="1:3">
      <c r="A110" s="214"/>
      <c r="B110" s="214"/>
      <c r="C110" s="214"/>
    </row>
    <row r="111" spans="1:3" ht="55" customHeight="1">
      <c r="A111" s="215" t="s">
        <v>93</v>
      </c>
      <c r="B111" s="214"/>
      <c r="C111" s="214"/>
    </row>
  </sheetData>
  <mergeCells count="51">
    <mergeCell ref="A99:C99"/>
    <mergeCell ref="A41:C41"/>
    <mergeCell ref="A108:C108"/>
    <mergeCell ref="A37:C37"/>
    <mergeCell ref="A46:C46"/>
    <mergeCell ref="A75:C75"/>
    <mergeCell ref="B81:C81"/>
    <mergeCell ref="A101:C101"/>
    <mergeCell ref="A105:C105"/>
    <mergeCell ref="A50:C50"/>
    <mergeCell ref="A104:C104"/>
    <mergeCell ref="A42:C42"/>
    <mergeCell ref="A106:C106"/>
    <mergeCell ref="A100:C100"/>
    <mergeCell ref="B86:C86"/>
    <mergeCell ref="A5:C5"/>
    <mergeCell ref="A32:C32"/>
    <mergeCell ref="A97:C97"/>
    <mergeCell ref="A91:C91"/>
    <mergeCell ref="A111:C111"/>
    <mergeCell ref="A31:C31"/>
    <mergeCell ref="A40:C40"/>
    <mergeCell ref="A9:C9"/>
    <mergeCell ref="B84:C84"/>
    <mergeCell ref="A30:C30"/>
    <mergeCell ref="A39:C39"/>
    <mergeCell ref="A34:C34"/>
    <mergeCell ref="A48:C48"/>
    <mergeCell ref="A36:C36"/>
    <mergeCell ref="A107:C107"/>
    <mergeCell ref="A110:C110"/>
    <mergeCell ref="A109:C109"/>
    <mergeCell ref="A35:C35"/>
    <mergeCell ref="A43:C43"/>
    <mergeCell ref="A20:C20"/>
    <mergeCell ref="A1:C1"/>
    <mergeCell ref="A103:C103"/>
    <mergeCell ref="A45:C45"/>
    <mergeCell ref="B80:C80"/>
    <mergeCell ref="A94:C94"/>
    <mergeCell ref="A88:C88"/>
    <mergeCell ref="B85:C85"/>
    <mergeCell ref="B79:C79"/>
    <mergeCell ref="B6:B8"/>
    <mergeCell ref="C6:C8"/>
    <mergeCell ref="A38:C38"/>
    <mergeCell ref="B78:C78"/>
    <mergeCell ref="A44:C44"/>
    <mergeCell ref="A102:C102"/>
    <mergeCell ref="A6:A8"/>
    <mergeCell ref="A33:C33"/>
  </mergeCells>
  <hyperlinks>
    <hyperlink ref="C6" r:id="rId1" xr:uid="{00000000-0004-0000-0000-000000000000}"/>
  </hyperlinks>
  <pageMargins left="0.75" right="0.75" top="1" bottom="1" header="0.5" footer="0.5"/>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8"/>
  <sheetViews>
    <sheetView topLeftCell="A56" zoomScale="120" workbookViewId="0">
      <selection activeCell="B5" sqref="B5"/>
    </sheetView>
  </sheetViews>
  <sheetFormatPr baseColWidth="10" defaultColWidth="8.83203125" defaultRowHeight="15"/>
  <cols>
    <col min="1" max="1" width="25" customWidth="1"/>
    <col min="2" max="2" width="20" customWidth="1"/>
    <col min="3" max="3" width="12" customWidth="1"/>
    <col min="9" max="9" width="10" customWidth="1"/>
  </cols>
  <sheetData>
    <row r="1" spans="1:7" ht="21.75" customHeight="1">
      <c r="A1" s="13" t="s">
        <v>94</v>
      </c>
      <c r="B1" s="14"/>
      <c r="C1" s="14"/>
      <c r="D1" s="14"/>
      <c r="E1" s="14"/>
      <c r="F1" s="14" t="s">
        <v>95</v>
      </c>
    </row>
    <row r="2" spans="1:7" ht="18" customHeight="1">
      <c r="A2" s="14"/>
      <c r="B2" s="14"/>
      <c r="C2" s="14"/>
      <c r="D2" s="14"/>
      <c r="E2" s="14"/>
      <c r="F2" s="15"/>
    </row>
    <row r="3" spans="1:7" ht="19.5" customHeight="1">
      <c r="A3" s="221" t="s">
        <v>96</v>
      </c>
      <c r="B3" s="214"/>
      <c r="C3" s="214"/>
      <c r="D3" s="214"/>
      <c r="E3" s="214"/>
      <c r="F3" s="214"/>
      <c r="G3" s="214"/>
    </row>
    <row r="4" spans="1:7" ht="19.5" customHeight="1">
      <c r="A4" s="16" t="s">
        <v>97</v>
      </c>
      <c r="B4" s="17">
        <v>99</v>
      </c>
      <c r="C4" s="18"/>
      <c r="D4" s="14"/>
      <c r="E4" s="19"/>
      <c r="F4" s="14"/>
    </row>
    <row r="5" spans="1:7" ht="19.5" customHeight="1">
      <c r="A5" s="16" t="s">
        <v>98</v>
      </c>
      <c r="B5" s="20" t="s">
        <v>17</v>
      </c>
      <c r="C5" s="14"/>
      <c r="D5" s="14"/>
      <c r="E5" s="14"/>
      <c r="F5" s="14"/>
    </row>
    <row r="6" spans="1:7" ht="19.5" customHeight="1">
      <c r="A6" s="16" t="s">
        <v>99</v>
      </c>
      <c r="B6" s="21" t="str">
        <f>IFERROR(IF(Plan!B36="Select ▽","→ See Plan",Plan!B36),"")</f>
        <v>→ See Plan</v>
      </c>
      <c r="C6" s="18"/>
      <c r="D6" s="14"/>
      <c r="E6" s="14"/>
      <c r="F6" s="14"/>
    </row>
    <row r="7" spans="1:7" ht="18" customHeight="1">
      <c r="A7" t="s">
        <v>100</v>
      </c>
      <c r="B7" s="22" t="s">
        <v>17</v>
      </c>
      <c r="C7" s="23"/>
    </row>
    <row r="8" spans="1:7" ht="18" customHeight="1">
      <c r="A8" t="s">
        <v>101</v>
      </c>
      <c r="B8" s="22" t="s">
        <v>17</v>
      </c>
    </row>
    <row r="9" spans="1:7" ht="18" customHeight="1">
      <c r="A9" s="221" t="s">
        <v>102</v>
      </c>
      <c r="B9" s="214"/>
      <c r="C9" s="214"/>
      <c r="D9" s="214"/>
      <c r="E9" s="214"/>
      <c r="F9" s="214"/>
      <c r="G9" s="214"/>
    </row>
    <row r="10" spans="1:7" ht="18" customHeight="1">
      <c r="A10" s="24" t="s">
        <v>103</v>
      </c>
      <c r="B10" s="24" t="s">
        <v>104</v>
      </c>
      <c r="C10" s="24" t="s">
        <v>105</v>
      </c>
      <c r="D10" s="24" t="s">
        <v>106</v>
      </c>
    </row>
    <row r="11" spans="1:7" ht="18" customHeight="1">
      <c r="A11" t="s">
        <v>107</v>
      </c>
      <c r="B11" s="22" t="s">
        <v>17</v>
      </c>
      <c r="C11" s="25"/>
      <c r="D11" s="26"/>
    </row>
    <row r="12" spans="1:7" ht="19.5" customHeight="1">
      <c r="A12" t="s">
        <v>108</v>
      </c>
      <c r="B12" s="22" t="s">
        <v>17</v>
      </c>
      <c r="C12" s="25"/>
      <c r="D12" s="26"/>
    </row>
    <row r="13" spans="1:7" ht="18" customHeight="1">
      <c r="A13" t="s">
        <v>109</v>
      </c>
      <c r="B13" s="22" t="s">
        <v>17</v>
      </c>
      <c r="C13" s="25"/>
      <c r="D13" s="26"/>
    </row>
    <row r="14" spans="1:7" ht="18" customHeight="1">
      <c r="A14" t="s">
        <v>110</v>
      </c>
      <c r="B14" s="22" t="s">
        <v>17</v>
      </c>
      <c r="C14" s="25"/>
      <c r="D14" s="26"/>
    </row>
    <row r="15" spans="1:7" ht="18" customHeight="1"/>
    <row r="16" spans="1:7" ht="18" customHeight="1">
      <c r="A16" s="221" t="s">
        <v>111</v>
      </c>
      <c r="B16" s="214"/>
      <c r="C16" s="214"/>
      <c r="D16" s="214"/>
      <c r="E16" s="214"/>
      <c r="F16" s="214"/>
      <c r="G16" s="214"/>
    </row>
    <row r="17" spans="1:7" ht="18" customHeight="1">
      <c r="A17" s="24" t="s">
        <v>112</v>
      </c>
      <c r="B17" s="24" t="s">
        <v>103</v>
      </c>
      <c r="C17" s="24" t="s">
        <v>113</v>
      </c>
      <c r="D17" s="24" t="s">
        <v>114</v>
      </c>
      <c r="E17" s="24" t="s">
        <v>115</v>
      </c>
    </row>
    <row r="18" spans="1:7" ht="18" customHeight="1">
      <c r="A18" t="s">
        <v>116</v>
      </c>
      <c r="B18" s="22" t="s">
        <v>107</v>
      </c>
      <c r="C18" s="27">
        <v>100</v>
      </c>
      <c r="D18" s="28" t="s">
        <v>17</v>
      </c>
      <c r="E18" s="29">
        <f t="shared" ref="E18:E24" si="0">IF(OR(D18="",D18="Select"),"",100-C18)</f>
        <v>0</v>
      </c>
    </row>
    <row r="19" spans="1:7" ht="21.75" customHeight="1">
      <c r="A19" t="s">
        <v>117</v>
      </c>
      <c r="B19" s="22" t="s">
        <v>107</v>
      </c>
      <c r="C19" s="27">
        <v>100</v>
      </c>
      <c r="D19" s="28" t="s">
        <v>17</v>
      </c>
      <c r="E19" s="29">
        <f t="shared" si="0"/>
        <v>0</v>
      </c>
    </row>
    <row r="20" spans="1:7" ht="18" customHeight="1">
      <c r="A20" t="s">
        <v>118</v>
      </c>
      <c r="B20" s="22" t="s">
        <v>107</v>
      </c>
      <c r="C20" s="27">
        <v>100</v>
      </c>
      <c r="D20" s="28" t="s">
        <v>17</v>
      </c>
      <c r="E20" s="29">
        <f t="shared" si="0"/>
        <v>0</v>
      </c>
    </row>
    <row r="21" spans="1:7" ht="19.5" customHeight="1">
      <c r="A21" t="s">
        <v>119</v>
      </c>
      <c r="B21" s="22" t="s">
        <v>107</v>
      </c>
      <c r="C21" s="27">
        <v>100</v>
      </c>
      <c r="D21" s="28" t="s">
        <v>17</v>
      </c>
      <c r="E21" s="29">
        <f t="shared" si="0"/>
        <v>0</v>
      </c>
    </row>
    <row r="22" spans="1:7" ht="19.5" customHeight="1">
      <c r="A22" t="s">
        <v>120</v>
      </c>
      <c r="B22" s="22" t="s">
        <v>107</v>
      </c>
      <c r="C22" s="27">
        <v>100</v>
      </c>
      <c r="D22" s="28" t="s">
        <v>17</v>
      </c>
      <c r="E22" s="29">
        <f t="shared" si="0"/>
        <v>0</v>
      </c>
    </row>
    <row r="23" spans="1:7" ht="18" customHeight="1">
      <c r="A23" t="s">
        <v>121</v>
      </c>
      <c r="B23" s="22" t="s">
        <v>107</v>
      </c>
      <c r="C23" s="27">
        <v>100</v>
      </c>
      <c r="D23" s="28" t="s">
        <v>17</v>
      </c>
      <c r="E23" s="29">
        <f t="shared" si="0"/>
        <v>0</v>
      </c>
    </row>
    <row r="24" spans="1:7" ht="18" customHeight="1">
      <c r="A24" t="s">
        <v>122</v>
      </c>
      <c r="B24" s="22" t="s">
        <v>107</v>
      </c>
      <c r="C24" s="27">
        <v>100</v>
      </c>
      <c r="D24" s="28" t="s">
        <v>17</v>
      </c>
      <c r="E24" s="29">
        <f t="shared" si="0"/>
        <v>0</v>
      </c>
    </row>
    <row r="25" spans="1:7" ht="18" customHeight="1"/>
    <row r="26" spans="1:7" ht="21.75" customHeight="1">
      <c r="A26" s="221" t="s">
        <v>123</v>
      </c>
      <c r="B26" s="214"/>
      <c r="C26" s="214"/>
      <c r="D26" s="214"/>
      <c r="E26" s="214"/>
      <c r="F26" s="214"/>
      <c r="G26" s="214"/>
    </row>
    <row r="27" spans="1:7" ht="18" customHeight="1">
      <c r="A27" s="16" t="s">
        <v>124</v>
      </c>
      <c r="B27" s="30">
        <f>IF(OR(_Inputs!B4="",_Inputs!B4=0),"",_Inputs!B4)</f>
        <v>99</v>
      </c>
      <c r="C27" s="31"/>
      <c r="D27" s="14"/>
      <c r="E27" s="32"/>
      <c r="F27" s="14"/>
    </row>
    <row r="28" spans="1:7" ht="18" customHeight="1">
      <c r="A28" t="s">
        <v>125</v>
      </c>
      <c r="B28" s="33" t="str">
        <f>IFERROR(IF(OR(_Allocations!B23="",_Allocations!B23=0),"",_Allocations!B23),"")</f>
        <v/>
      </c>
    </row>
    <row r="29" spans="1:7" ht="19.5" customHeight="1">
      <c r="A29" s="16" t="s">
        <v>126</v>
      </c>
      <c r="B29" s="30">
        <f>IFERROR(IF(OR(B27="",B27=0),"",B27-IFERROR(IF(OR(B28="",B28="-"),0,B28),0)),"")</f>
        <v>99</v>
      </c>
      <c r="C29" s="34"/>
      <c r="D29" s="14"/>
      <c r="E29" s="32"/>
      <c r="F29" s="14"/>
    </row>
    <row r="30" spans="1:7" ht="18" customHeight="1">
      <c r="A30" s="16" t="s">
        <v>127</v>
      </c>
      <c r="B30" s="30">
        <f>IFERROR(IF(_Allocations!B3="","",_Allocations!B3),"")</f>
        <v>21.78</v>
      </c>
      <c r="C30" s="35"/>
      <c r="D30" s="36"/>
      <c r="E30" s="32"/>
      <c r="F30" s="14"/>
    </row>
    <row r="31" spans="1:7" ht="18" customHeight="1">
      <c r="A31" s="16" t="s">
        <v>128</v>
      </c>
      <c r="B31" s="30">
        <f>IFERROR(IF(_Allocations!B4="","",_Allocations!B4),"")</f>
        <v>128.70000000000002</v>
      </c>
      <c r="C31" s="35"/>
      <c r="D31" s="37"/>
      <c r="E31" s="32"/>
      <c r="F31" s="14"/>
    </row>
    <row r="32" spans="1:7" ht="21.75" customHeight="1">
      <c r="A32" t="s">
        <v>129</v>
      </c>
      <c r="B32" s="38">
        <f>IFERROR(IF(OR(B4="",B4=0,B31=""),"",ROUND(B31/B4*100,0)),"")</f>
        <v>130</v>
      </c>
    </row>
    <row r="33" spans="1:7" ht="18" customHeight="1">
      <c r="A33" t="s">
        <v>130</v>
      </c>
      <c r="B33" s="33">
        <f>IFERROR(IF(OR(B4="",B31=""),"",ROUND(B31/B4,2)),"")</f>
        <v>1.3</v>
      </c>
    </row>
    <row r="34" spans="1:7" ht="18" customHeight="1">
      <c r="A34" s="16" t="s">
        <v>131</v>
      </c>
      <c r="B34" s="30">
        <f>IFERROR(IF(_Allocations!B6="","",ROUND(_Allocations!B6,2)),"")</f>
        <v>267.74</v>
      </c>
      <c r="C34" s="35"/>
      <c r="D34" s="36"/>
      <c r="E34" s="32"/>
      <c r="F34" s="14"/>
    </row>
    <row r="35" spans="1:7" ht="15" customHeight="1">
      <c r="A35" s="16" t="s">
        <v>132</v>
      </c>
      <c r="B35" s="39">
        <f>IFERROR(IF(_Allocations!B7="","",ROUND(_Allocations!B7,2)),"")</f>
        <v>121.18</v>
      </c>
      <c r="C35" s="35"/>
      <c r="D35" s="36"/>
      <c r="E35" s="32"/>
      <c r="F35" s="14"/>
    </row>
    <row r="36" spans="1:7" ht="19.5" customHeight="1">
      <c r="A36" s="40" t="s">
        <v>133</v>
      </c>
      <c r="B36" s="41" t="s">
        <v>17</v>
      </c>
      <c r="C36" s="42"/>
      <c r="D36" s="43"/>
      <c r="E36" s="44"/>
      <c r="F36" s="14"/>
    </row>
    <row r="37" spans="1:7" ht="15" customHeight="1">
      <c r="A37" s="14" t="s">
        <v>134</v>
      </c>
      <c r="B37" s="45">
        <f>IFERROR(IF(_Allocations!B8="","",ROUND(_Allocations!B8,2)),"")</f>
        <v>147.03</v>
      </c>
      <c r="C37" s="46"/>
      <c r="D37" s="46"/>
      <c r="E37" s="47"/>
      <c r="F37" s="14"/>
    </row>
    <row r="38" spans="1:7" ht="15" customHeight="1">
      <c r="A38" s="221" t="s">
        <v>135</v>
      </c>
      <c r="B38" s="214"/>
      <c r="C38" s="214"/>
      <c r="D38" s="214"/>
      <c r="E38" s="214"/>
      <c r="F38" s="214"/>
      <c r="G38" s="214"/>
    </row>
    <row r="39" spans="1:7" ht="15" customHeight="1">
      <c r="A39" s="48" t="s">
        <v>136</v>
      </c>
      <c r="B39" s="49" t="s">
        <v>137</v>
      </c>
      <c r="C39" s="49" t="s">
        <v>138</v>
      </c>
      <c r="D39" s="49" t="s">
        <v>139</v>
      </c>
      <c r="E39" s="49" t="s">
        <v>140</v>
      </c>
      <c r="F39" s="49" t="s">
        <v>141</v>
      </c>
      <c r="G39" s="50"/>
    </row>
    <row r="40" spans="1:7" ht="15" customHeight="1">
      <c r="A40" s="51" t="s">
        <v>142</v>
      </c>
      <c r="B40" s="52" t="str">
        <f>IFERROR(IF(OR(_Allocations!B23="",_Allocations!B23=0),"-",ROUND(_Allocations!B23,2)),"-")</f>
        <v>-</v>
      </c>
      <c r="C40" s="52">
        <f>IFERROR(IF(OR(_Allocations!C11="",_Allocations!C11=0),"-",ROUND(_Allocations!C11,2)),"-")</f>
        <v>2.29</v>
      </c>
      <c r="D40" s="52">
        <f>IFERROR(IF(OR(_Allocations!B24="",_Allocations!B24=0),"-",ROUND(_Allocations!B24,2)),"-")</f>
        <v>4.6399999999999997</v>
      </c>
      <c r="E40" s="52">
        <f>IFERROR(IF(_Allocations!D11="","-",ROUND(_Allocations!D11,2)),"-")</f>
        <v>7.62</v>
      </c>
      <c r="F40" s="53">
        <f>IFERROR(IF(_Allocations!D11="","-",ROUND(_Allocations!D11/(_Allocations!C11+_Allocations!B24+_Allocations!B23),2)),"-")</f>
        <v>1.1000000000000001</v>
      </c>
    </row>
    <row r="41" spans="1:7" ht="15" customHeight="1">
      <c r="A41" s="51" t="s">
        <v>119</v>
      </c>
      <c r="B41" s="52" t="str">
        <f>"-"</f>
        <v>-</v>
      </c>
      <c r="C41" s="52">
        <f>IFERROR(IF(OR(_Allocations!C12="",_Allocations!C12=0),"-",ROUND(_Allocations!C12,2)),"-")</f>
        <v>5.46</v>
      </c>
      <c r="D41" s="53">
        <f>IFERROR(IF(OR(_Allocations!B12="",_Allocations!B12=0),"-",ROUND(_Allocations!B12,2)),"-")</f>
        <v>13.81</v>
      </c>
      <c r="E41" s="52">
        <f>IFERROR(IF(_Allocations!D12="","-",ROUND(_Allocations!D12,2)),"-")</f>
        <v>13.12</v>
      </c>
      <c r="F41" s="53">
        <f>IFERROR(IF(OR(_Allocations!D12="",_Allocations!B12=0),"-",ROUND(_Allocations!D12/(_Allocations!C12+_Allocations!B12),2)),"-")</f>
        <v>0.68</v>
      </c>
    </row>
    <row r="42" spans="1:7" ht="19.5" customHeight="1">
      <c r="A42" s="51" t="s">
        <v>120</v>
      </c>
      <c r="B42" s="52" t="str">
        <f>"-"</f>
        <v>-</v>
      </c>
      <c r="C42" s="52">
        <f>IFERROR(IF(OR(_Allocations!C13="",_Allocations!C13=0),"-",ROUND(_Allocations!C13,2)),"-")</f>
        <v>4.29</v>
      </c>
      <c r="D42" s="53">
        <f>IFERROR(IF(OR(_Allocations!B13="",_Allocations!B13=0),"-",ROUND(_Allocations!B13,2)),"-")</f>
        <v>32.22</v>
      </c>
      <c r="E42" s="52">
        <f>IFERROR(IF(_Allocations!D13="","-",ROUND(_Allocations!D13,2)),"-")</f>
        <v>40.28</v>
      </c>
      <c r="F42" s="53">
        <f>IFERROR(IF(OR(_Allocations!D13="",_Allocations!B13=0),"-",ROUND(_Allocations!D13/(_Allocations!C13+_Allocations!B13),2)),"-")</f>
        <v>1.1000000000000001</v>
      </c>
    </row>
    <row r="43" spans="1:7" ht="15" customHeight="1">
      <c r="A43" s="51" t="s">
        <v>121</v>
      </c>
      <c r="B43" s="52" t="str">
        <f>"-"</f>
        <v>-</v>
      </c>
      <c r="C43" s="52">
        <f>IFERROR(IF(OR(_Allocations!C14="",_Allocations!C14=0),"-",ROUND(_Allocations!C14,2)),"-")</f>
        <v>3.51</v>
      </c>
      <c r="D43" s="53">
        <f>IFERROR(IF(OR(_Allocations!B14="",_Allocations!B14=0),"-",ROUND(_Allocations!B14,2)),"-")</f>
        <v>46.04</v>
      </c>
      <c r="E43" s="52">
        <f>IFERROR(IF(_Allocations!D14="","-",ROUND(_Allocations!D14,2)),"-")</f>
        <v>66.75</v>
      </c>
      <c r="F43" s="53">
        <f>IFERROR(IF(OR(_Allocations!D14="",_Allocations!B14=0),"-",ROUND(_Allocations!D14/(_Allocations!C14+_Allocations!B14),2)),"-")</f>
        <v>1.35</v>
      </c>
    </row>
    <row r="44" spans="1:7" ht="15" customHeight="1">
      <c r="A44" s="51" t="s">
        <v>122</v>
      </c>
      <c r="B44" s="52" t="str">
        <f>"-"</f>
        <v>-</v>
      </c>
      <c r="C44" s="52" t="str">
        <f>IFERROR(IF(OR(_Allocations!C15="",_Allocations!C15=0),"-",ROUND(_Allocations!C15,2)),"-")</f>
        <v>-</v>
      </c>
      <c r="D44" s="53" t="str">
        <f>IFERROR(IF(OR(_Allocations!B15="",_Allocations!B15=0),"-",ROUND(_Allocations!B15,2)),"-")</f>
        <v>-</v>
      </c>
      <c r="E44" s="52" t="str">
        <f>IFERROR(IF(OR(_Allocations!D15="",_Allocations!D15=0),"-",ROUND(_Allocations!D15,2)),"-")</f>
        <v>-</v>
      </c>
      <c r="F44" s="53" t="str">
        <f>IFERROR(IF(OR(_Allocations!D15="",_Allocations!B15=0),"-",ROUND(_Allocations!D15/(_Allocations!C15+_Allocations!B15),2)),"-")</f>
        <v>-</v>
      </c>
    </row>
    <row r="45" spans="1:7" ht="15" customHeight="1">
      <c r="A45" s="18"/>
      <c r="B45" s="19"/>
      <c r="C45" s="14"/>
      <c r="D45" s="14"/>
      <c r="E45" s="14"/>
      <c r="F45" s="14"/>
    </row>
    <row r="46" spans="1:7" ht="15" customHeight="1">
      <c r="A46" s="221" t="s">
        <v>143</v>
      </c>
      <c r="B46" s="214"/>
      <c r="C46" s="214"/>
      <c r="D46" s="214"/>
      <c r="E46" s="214"/>
      <c r="F46" s="214"/>
      <c r="G46" s="214"/>
    </row>
    <row r="47" spans="1:7" ht="15" customHeight="1">
      <c r="A47" s="16" t="s">
        <v>144</v>
      </c>
      <c r="B47" s="54">
        <f>IFERROR(IF(_Allocations!B18="","",_Allocations!B18),"")</f>
        <v>21.78</v>
      </c>
      <c r="C47" s="32"/>
      <c r="D47" s="14"/>
      <c r="E47" s="32"/>
      <c r="F47" s="14"/>
    </row>
    <row r="48" spans="1:7" ht="15" customHeight="1">
      <c r="A48" s="16" t="s">
        <v>145</v>
      </c>
      <c r="B48" s="30">
        <f>IFERROR(IF(OR(_Allocations!B19="",_Allocations!B19=0),"",ROUND(_Allocations!B19/1.4,2)),"")</f>
        <v>26.82</v>
      </c>
      <c r="C48" s="32"/>
      <c r="D48" s="14"/>
      <c r="E48" s="32"/>
      <c r="F48" s="14"/>
    </row>
    <row r="49" spans="1:7" ht="19.5" customHeight="1">
      <c r="A49" s="16" t="s">
        <v>146</v>
      </c>
      <c r="B49" s="30">
        <f>IFERROR(IF(_Allocations!B19="","",_Allocations!B19),"")</f>
        <v>37.551724137931032</v>
      </c>
      <c r="C49" s="32"/>
      <c r="D49" s="14"/>
      <c r="E49" s="32"/>
      <c r="F49" s="14"/>
    </row>
    <row r="50" spans="1:7" ht="15" customHeight="1">
      <c r="A50" s="16" t="s">
        <v>147</v>
      </c>
      <c r="B50" s="30">
        <f>IFERROR(IF(_Allocations!B20="","",_Allocations!B20),"")</f>
        <v>31.114285714285717</v>
      </c>
      <c r="C50" s="32"/>
      <c r="D50" s="14"/>
      <c r="E50" s="32"/>
      <c r="F50" s="14"/>
    </row>
    <row r="51" spans="1:7" ht="15" customHeight="1">
      <c r="A51" s="16" t="s">
        <v>148</v>
      </c>
      <c r="B51" s="30">
        <f>IFERROR(IF(_Allocations!B21="","",_Allocations!B21),"")</f>
        <v>26</v>
      </c>
      <c r="C51" s="32"/>
      <c r="D51" s="14"/>
      <c r="E51" s="32"/>
      <c r="F51" s="14"/>
    </row>
    <row r="52" spans="1:7" ht="15" customHeight="1"/>
    <row r="53" spans="1:7" ht="15" customHeight="1">
      <c r="A53" s="221" t="s">
        <v>149</v>
      </c>
      <c r="B53" s="214"/>
      <c r="C53" s="214"/>
      <c r="D53" s="214"/>
      <c r="E53" s="214"/>
      <c r="F53" s="214"/>
      <c r="G53" s="214"/>
    </row>
    <row r="54" spans="1:7" ht="15" customHeight="1">
      <c r="A54" t="s">
        <v>150</v>
      </c>
      <c r="B54" s="33">
        <f>IFERROR(IF(OR(_Allocations!D11="",_Allocations!D11=0),"",ROUND(_Allocations!D11/(IFERROR(_Allocations!B23,0)+IFERROR(_Allocations!B24,0)+IFERROR(_Allocations!C11,0)),2)),"")</f>
        <v>1.1000000000000001</v>
      </c>
    </row>
    <row r="55" spans="1:7" ht="15" customHeight="1">
      <c r="A55" t="s">
        <v>151</v>
      </c>
      <c r="B55" s="33" t="str">
        <f>IFERROR(IF(OR($B$27="",B27=0),"",ROUND((IFERROR(_Allocations!B23,0)+IFERROR(_Allocations!B24,0)+IFERROR(_Allocations!C11,0))/$B$27*100,0)&amp;"%"),"")</f>
        <v>7%</v>
      </c>
    </row>
    <row r="56" spans="1:7" ht="15" customHeight="1">
      <c r="A56" t="s">
        <v>152</v>
      </c>
      <c r="B56" s="33">
        <f>IFERROR(IF(OR(_Allocations!D11="",_Allocations!D11=0),"",_Allocations!D11+(IFERROR(_Allocations!B23,0)+IFERROR(_Allocations!B24,0)+IFERROR(_Allocations!C11,0))*0.35),"")</f>
        <v>10.048500000000001</v>
      </c>
    </row>
    <row r="57" spans="1:7" ht="15" customHeight="1"/>
    <row r="58" spans="1:7" ht="15" customHeight="1">
      <c r="A58" s="221" t="s">
        <v>153</v>
      </c>
      <c r="B58" s="214"/>
      <c r="C58" s="214"/>
      <c r="D58" s="214"/>
      <c r="E58" s="214"/>
      <c r="F58" s="214"/>
      <c r="G58" s="214"/>
    </row>
    <row r="59" spans="1:7" ht="15" customHeight="1">
      <c r="A59" s="16" t="s">
        <v>154</v>
      </c>
      <c r="B59" s="30">
        <f>IF(B6="","",IF(OR(ISNUMBER(SEARCH("Sokujo",B6)),ISNUMBER(SEARCH("sokujo",B6))),10,IF(OR(ISNUMBER(SEARCH("Kimoto",B6)),ISNUMBER(SEARCH("kimoto",B6))),7,IF(OR(ISNUMBER(SEARCH("Yamahai",B6)),ISNUMBER(SEARCH("yamahai",B6))),7,IF(OR(ISNUMBER(SEARCH("Bodaimoto",B6)),ISNUMBER(SEARCH("bodaimoto",B6))),8,IF(OR(ISNUMBER(SEARCH("Mizumoto",B6)),ISNUMBER(SEARCH("mizumoto",B6))),6,IF(OR(ISNUMBER(SEARCH("Toka",B6)),ISNUMBER(SEARCH("Tōka",B6))),9,10)))))))</f>
        <v>10</v>
      </c>
      <c r="C59" s="32"/>
      <c r="E59" s="32"/>
    </row>
    <row r="60" spans="1:7" ht="15" customHeight="1">
      <c r="A60" s="16" t="s">
        <v>155</v>
      </c>
      <c r="B60" s="39">
        <f>IFERROR('Yeast Calc'!B12,"")</f>
        <v>10.048500000000001</v>
      </c>
      <c r="C60" s="32"/>
      <c r="E60" s="32"/>
    </row>
    <row r="61" spans="1:7" ht="15" customHeight="1">
      <c r="A61" s="16" t="s">
        <v>156</v>
      </c>
      <c r="B61" s="30">
        <f>IFERROR('Yeast Calc'!B13,"")</f>
        <v>1004.85</v>
      </c>
      <c r="C61" s="32"/>
      <c r="E61" s="32"/>
    </row>
    <row r="62" spans="1:7" ht="15" customHeight="1">
      <c r="A62" s="16" t="s">
        <v>157</v>
      </c>
      <c r="B62" s="30">
        <f>IFERROR(IF('Yeast Calc'!B14="","",CEILING('Yeast Calc'!B14,1)),"")</f>
        <v>11</v>
      </c>
      <c r="C62" s="32"/>
      <c r="E62" s="32"/>
    </row>
    <row r="63" spans="1:7" ht="15" customHeight="1">
      <c r="A63" s="16" t="s">
        <v>158</v>
      </c>
      <c r="B63" s="55" t="str">
        <f>IFERROR(IF(Plan!B36="Select ▽","→ See Plan",IF(OR(Plan!B36="Kimoto",Plan!B36="Yamahai",Plan!B36="Bodaimoto"),"None (natural)",IF(Plan!B36="Sokujo","Lactic acid","→ See Plan"))),"")</f>
        <v>→ See Plan</v>
      </c>
      <c r="C63" s="32"/>
      <c r="E63" s="32"/>
    </row>
    <row r="64" spans="1:7" ht="15" customHeight="1">
      <c r="A64" t="s">
        <v>159</v>
      </c>
      <c r="B64" s="29" t="str">
        <f>IF(B63="Select","",IF(B63="Natural",0,IFERROR(VLOOKUP(B63,_Lookups!$F$2:$H$10,3,FALSE()),"")))</f>
        <v/>
      </c>
    </row>
    <row r="65" spans="1:7" ht="15" customHeight="1"/>
    <row r="66" spans="1:7" ht="15" customHeight="1">
      <c r="A66" s="221" t="s">
        <v>160</v>
      </c>
      <c r="B66" s="214"/>
      <c r="C66" s="214"/>
      <c r="D66" s="214"/>
      <c r="E66" s="214"/>
      <c r="F66" s="214"/>
      <c r="G66" s="214"/>
    </row>
    <row r="67" spans="1:7" ht="15" customHeight="1">
      <c r="A67" s="23"/>
      <c r="B67" s="56"/>
      <c r="C67" s="23"/>
      <c r="D67" s="57"/>
      <c r="E67" s="32"/>
    </row>
    <row r="68" spans="1:7" ht="15" customHeight="1">
      <c r="A68" s="58" t="s">
        <v>161</v>
      </c>
      <c r="B68" s="59">
        <f>IFERROR(IF(_Allocations!B71="","",ROUND(_Allocations!B71,1)),"")</f>
        <v>0.8</v>
      </c>
      <c r="C68" s="23"/>
      <c r="D68" s="23"/>
      <c r="E68" s="32"/>
    </row>
    <row r="69" spans="1:7" ht="15" customHeight="1">
      <c r="A69" s="23" t="s">
        <v>162</v>
      </c>
      <c r="B69" s="60" t="str">
        <f>IFERROR(IF(_Allocations!B72="","",_Allocations!B72),"")</f>
        <v>Very Low (clean)</v>
      </c>
      <c r="C69" s="61"/>
      <c r="D69" s="62"/>
      <c r="E69" s="32"/>
    </row>
    <row r="70" spans="1:7" ht="15" customHeight="1">
      <c r="A70" s="23"/>
      <c r="B70" s="63"/>
      <c r="C70" s="61"/>
      <c r="D70" s="62"/>
      <c r="E70" s="32"/>
    </row>
    <row r="71" spans="1:7" ht="15" customHeight="1">
      <c r="A71" s="64" t="s">
        <v>163</v>
      </c>
      <c r="B71" s="61"/>
      <c r="C71" s="61"/>
      <c r="D71" s="65"/>
    </row>
    <row r="72" spans="1:7" ht="15" customHeight="1">
      <c r="A72" s="66" t="s">
        <v>164</v>
      </c>
      <c r="B72" s="67" t="str">
        <f>IFERROR(IF(_Allocations!B64="","",ROUND(_Allocations!B64,0)&amp;" → "&amp;ROUND(_Allocations!B67,0)&amp;" ("&amp;_Allocations!B68&amp;") → "&amp;ROUND(_Allocations!B69,0)),"")</f>
        <v>2074 → 254 (35%) → 472</v>
      </c>
      <c r="C72" s="61"/>
      <c r="D72" s="65"/>
    </row>
    <row r="73" spans="1:7" ht="15" customHeight="1">
      <c r="A73" s="23"/>
      <c r="B73" s="23"/>
      <c r="C73" s="23"/>
      <c r="D73" s="65"/>
    </row>
    <row r="74" spans="1:7" ht="15" customHeight="1">
      <c r="A74" s="23"/>
      <c r="B74" s="61"/>
      <c r="C74" s="61"/>
      <c r="D74" s="65"/>
    </row>
    <row r="75" spans="1:7" ht="15" customHeight="1">
      <c r="A75" s="23"/>
      <c r="B75" s="61"/>
      <c r="C75" s="61"/>
      <c r="D75" s="65"/>
    </row>
    <row r="76" spans="1:7" ht="15" customHeight="1">
      <c r="A76" s="23"/>
      <c r="B76" s="61"/>
      <c r="C76" s="61"/>
      <c r="D76" s="65"/>
    </row>
    <row r="77" spans="1:7" ht="15" customHeight="1">
      <c r="A77" s="221" t="s">
        <v>165</v>
      </c>
      <c r="B77" s="214"/>
      <c r="C77" s="214"/>
      <c r="D77" s="214"/>
      <c r="E77" s="214"/>
      <c r="F77" s="214"/>
      <c r="G77" s="214"/>
    </row>
    <row r="78" spans="1:7" ht="15" customHeight="1">
      <c r="A78" s="24"/>
      <c r="B78" s="68"/>
      <c r="C78" s="23"/>
      <c r="D78" s="23"/>
    </row>
    <row r="79" spans="1:7" ht="15" customHeight="1">
      <c r="A79" s="24" t="s">
        <v>166</v>
      </c>
      <c r="B79" s="69" t="s">
        <v>17</v>
      </c>
      <c r="C79" s="23"/>
      <c r="D79" s="23"/>
    </row>
    <row r="80" spans="1:7" ht="15" customHeight="1">
      <c r="A80" s="23" t="s">
        <v>167</v>
      </c>
      <c r="B80" s="70" t="str">
        <f>IF($B$79="Select","",IFERROR(VLOOKUP($B$79,_Lookups!$AK$2:$AV$30,2,FALSE()),""))</f>
        <v/>
      </c>
      <c r="C80" s="23"/>
      <c r="D80" s="23"/>
    </row>
    <row r="81" spans="1:7" ht="15" customHeight="1">
      <c r="A81" s="23" t="s">
        <v>168</v>
      </c>
      <c r="B81" s="70" t="str">
        <f>IF($B$79="Select","",IFERROR(VLOOKUP($B$79,_Lookups!$AK$2:$AV$30,3,FALSE()),""))</f>
        <v/>
      </c>
      <c r="C81" s="23"/>
      <c r="D81" s="23"/>
    </row>
    <row r="82" spans="1:7" ht="15" customHeight="1">
      <c r="A82" s="23" t="s">
        <v>169</v>
      </c>
      <c r="B82" s="70" t="str">
        <f>IF($B$79="Select","",IFERROR(VLOOKUP($B$79,_Lookups!$AK$2:$AV$30,4,FALSE()),""))</f>
        <v/>
      </c>
      <c r="C82" s="23"/>
      <c r="D82" s="23"/>
    </row>
    <row r="83" spans="1:7" ht="15" customHeight="1">
      <c r="A83" s="71" t="s">
        <v>170</v>
      </c>
      <c r="B83" s="70" t="str">
        <f>IF($B$79="Select","",IFERROR(VLOOKUP($B$79,_Lookups!$AK$2:$AV$30,5,FALSE()),""))</f>
        <v/>
      </c>
      <c r="C83" s="72" t="str">
        <f>IF(OR(B83="",B83=0),"",IF(B83&gt;50,"⚠ High","OK"))</f>
        <v/>
      </c>
      <c r="D83" s="23"/>
    </row>
    <row r="84" spans="1:7" ht="15" customHeight="1">
      <c r="A84" s="24" t="s">
        <v>171</v>
      </c>
      <c r="B84" s="70" t="str">
        <f>IF($B$79="Select","",IFERROR(VLOOKUP($B$79,_Lookups!$AK$2:$AV$30,6,FALSE()),""))</f>
        <v/>
      </c>
      <c r="C84" s="23"/>
      <c r="D84" s="23"/>
    </row>
    <row r="85" spans="1:7" ht="15" customHeight="1">
      <c r="A85" s="73" t="s">
        <v>172</v>
      </c>
      <c r="B85" s="70" t="str">
        <f>IF($B$79="Select","",IFERROR(VLOOKUP($B$79,_Lookups!$AK$2:$AV$30,7,FALSE()),""))</f>
        <v/>
      </c>
      <c r="C85" s="23"/>
      <c r="D85" s="23"/>
    </row>
    <row r="86" spans="1:7" ht="15" customHeight="1">
      <c r="A86" t="s">
        <v>173</v>
      </c>
      <c r="B86" s="33" t="str">
        <f>IF($B$79="Select","",IFERROR(VLOOKUP($B$79,_Lookups!$AK$2:$AV$30,8,FALSE()),""))</f>
        <v/>
      </c>
    </row>
    <row r="87" spans="1:7" ht="15" customHeight="1">
      <c r="A87" t="s">
        <v>174</v>
      </c>
      <c r="B87" s="74" t="str">
        <f>IF($B$79="Select","",IFERROR(VLOOKUP($B$79,_Lookups!$AK$2:$AV$30,10,FALSE()),""))</f>
        <v/>
      </c>
      <c r="C87" s="29" t="str">
        <f>IF(B87="","",IF(B87&gt;0.02,"🛑 Filter required","OK"))</f>
        <v/>
      </c>
    </row>
    <row r="88" spans="1:7" ht="15" customHeight="1">
      <c r="A88" s="24" t="s">
        <v>175</v>
      </c>
      <c r="B88" s="74" t="str">
        <f>IF($B$79="Select","",IFERROR(VLOOKUP($B$79,_Lookups!$AK$2:$AV$30,11,FALSE()),""))</f>
        <v/>
      </c>
      <c r="C88" s="29" t="str">
        <f>IF(B88="","",IF(B88&gt;0.02,"🛑 Filter required","OK"))</f>
        <v/>
      </c>
    </row>
    <row r="89" spans="1:7" ht="15" customHeight="1">
      <c r="A89" t="s">
        <v>176</v>
      </c>
      <c r="B89" s="74" t="str">
        <f>IF($B$79="Select","",IFERROR(VLOOKUP($B$79,_Lookups!$AK$2:$AV$30,12,FALSE()),""))</f>
        <v/>
      </c>
    </row>
    <row r="90" spans="1:7" ht="15" customHeight="1">
      <c r="A90" t="s">
        <v>177</v>
      </c>
      <c r="B90" s="33" t="str">
        <f>IF($B$79="Select","",IFERROR(VLOOKUP($B$79,_Lookups!$AK$2:$AV$30,9,FALSE()),""))</f>
        <v/>
      </c>
    </row>
    <row r="92" spans="1:7" ht="15" customHeight="1">
      <c r="A92" s="221" t="s">
        <v>178</v>
      </c>
      <c r="B92" s="214"/>
      <c r="C92" s="214"/>
      <c r="D92" s="214"/>
      <c r="E92" s="214"/>
      <c r="F92" s="214"/>
      <c r="G92" s="214"/>
    </row>
    <row r="93" spans="1:7" ht="15" customHeight="1">
      <c r="A93" t="s">
        <v>179</v>
      </c>
      <c r="B93" s="22" t="s">
        <v>17</v>
      </c>
    </row>
    <row r="95" spans="1:7" ht="15" customHeight="1">
      <c r="A95" s="24" t="s">
        <v>180</v>
      </c>
      <c r="B95" s="24" t="s">
        <v>181</v>
      </c>
      <c r="C95" s="24" t="s">
        <v>182</v>
      </c>
      <c r="D95" s="24" t="s">
        <v>183</v>
      </c>
      <c r="E95" s="24" t="s">
        <v>184</v>
      </c>
      <c r="F95" s="24" t="s">
        <v>185</v>
      </c>
    </row>
    <row r="96" spans="1:7" ht="15" customHeight="1">
      <c r="A96" t="s">
        <v>186</v>
      </c>
      <c r="B96" s="29" t="str">
        <f>IF($B$93="Select","",IFERROR(VLOOKUP($B$93,_Lookups!$AA$2:$AI$15,2,FALSE()),""))</f>
        <v/>
      </c>
      <c r="C96" s="33" t="str">
        <f t="shared" ref="C96:C102" si="1">IFERROR(B80,"")</f>
        <v/>
      </c>
      <c r="D96" s="29" t="str">
        <f>IF(OR(B96="",C96=""),"",B96-C96)</f>
        <v/>
      </c>
      <c r="E96" s="29" t="str">
        <f>IF(OR(D96="",D96=0),"",IF(D96&gt;0,"Add",IF(D96&lt;-5,"Dilute/RO","OK")))</f>
        <v/>
      </c>
    </row>
    <row r="97" spans="1:7" ht="15" customHeight="1">
      <c r="A97" t="s">
        <v>187</v>
      </c>
      <c r="B97" s="29" t="str">
        <f>IF($B$93="Select","",IFERROR(VLOOKUP($B$93,_Lookups!$AA$2:$AI$15,3,FALSE()),""))</f>
        <v/>
      </c>
      <c r="C97" s="33" t="str">
        <f t="shared" si="1"/>
        <v/>
      </c>
      <c r="D97" s="29" t="str">
        <f>IF(OR(B97="",C97=""),"",B97-C97)</f>
        <v/>
      </c>
      <c r="E97" s="29" t="str">
        <f>IF(OR(D97="",D97=0),"",IF(D97&gt;0,"Add",IF(D97&lt;-5,"Dilute/RO","OK")))</f>
        <v/>
      </c>
    </row>
    <row r="98" spans="1:7" ht="15" customHeight="1">
      <c r="A98" t="s">
        <v>188</v>
      </c>
      <c r="B98" s="29" t="str">
        <f>IF($B$93="Select","",IFERROR(VLOOKUP($B$93,_Lookups!$AA$2:$AI$15,4,FALSE()),""))</f>
        <v/>
      </c>
      <c r="C98" s="33" t="str">
        <f t="shared" si="1"/>
        <v/>
      </c>
      <c r="D98" s="29" t="str">
        <f>IF(OR(B98="",C98=""),"",B98-C98)</f>
        <v/>
      </c>
      <c r="E98" s="29" t="str">
        <f>IF(OR(D98="",D98=0),"",IF(D98&gt;0,"Add",IF(D98&lt;-5,"Dilute/RO","OK")))</f>
        <v/>
      </c>
    </row>
    <row r="99" spans="1:7" ht="15" customHeight="1">
      <c r="A99" t="s">
        <v>189</v>
      </c>
      <c r="B99" s="29" t="str">
        <f>IF($B$93="Select","",IFERROR(VLOOKUP($B$93,_Lookups!$AA$2:$AI$15,8,FALSE()),""))</f>
        <v/>
      </c>
      <c r="C99" s="33" t="str">
        <f t="shared" si="1"/>
        <v/>
      </c>
      <c r="D99" s="29" t="str">
        <f>IF(OR(B102="",C102=""),"",B102-C102)</f>
        <v/>
      </c>
      <c r="E99" s="29" t="str">
        <f>IF(OR(D102="",D102=0),"",IF(D102&gt;0,"Add",IF(D102&lt;-5,"Dilute/RO","OK")))</f>
        <v/>
      </c>
    </row>
    <row r="100" spans="1:7" ht="15" customHeight="1">
      <c r="A100" t="s">
        <v>190</v>
      </c>
      <c r="B100" s="29" t="str">
        <f>IF($B$93="Select","",IFERROR(VLOOKUP($B$93,_Lookups!$AA$2:$AI$15,6,FALSE()),""))</f>
        <v/>
      </c>
      <c r="C100" s="33" t="str">
        <f t="shared" si="1"/>
        <v/>
      </c>
      <c r="D100" s="29" t="str">
        <f>IF(OR(B100="",C100=""),"",B100-C100)</f>
        <v/>
      </c>
      <c r="E100" s="29" t="str">
        <f>IF(OR(D100="",D100=0),"",IF(D100&gt;0,"Add",IF(D100&lt;-5,"Dilute/RO","OK")))</f>
        <v/>
      </c>
    </row>
    <row r="101" spans="1:7" ht="15" customHeight="1">
      <c r="A101" t="s">
        <v>191</v>
      </c>
      <c r="B101" s="29" t="str">
        <f>IF($B$93="Select","",IFERROR(VLOOKUP($B$93,_Lookups!$AA$2:$AI$15,7,FALSE()),""))</f>
        <v/>
      </c>
      <c r="C101" s="33" t="str">
        <f t="shared" si="1"/>
        <v/>
      </c>
      <c r="D101" s="29" t="str">
        <f>IF(OR(B101="",C101=""),"",B101-C101)</f>
        <v/>
      </c>
      <c r="E101" s="29" t="str">
        <f>IF(OR(D101="",D101=0),"",IF(D101&gt;0,"Add",IF(D101&lt;-5,"Dilute/RO","OK")))</f>
        <v/>
      </c>
    </row>
    <row r="102" spans="1:7" ht="15" customHeight="1">
      <c r="A102" t="s">
        <v>192</v>
      </c>
      <c r="B102" s="29" t="str">
        <f>IF($B$93="Select","",IFERROR(VLOOKUP($B$93,_Lookups!$AA$2:$AI$15,5,FALSE()),""))</f>
        <v/>
      </c>
      <c r="C102" s="33" t="str">
        <f t="shared" si="1"/>
        <v/>
      </c>
      <c r="D102" s="29" t="str">
        <f>IF(OR(B99="",C99=""),"",B99-C99)</f>
        <v/>
      </c>
      <c r="E102" s="29" t="str">
        <f>IF(OR(D99="",D99=0),"",IF(D99&gt;0,"Add",IF(D99&lt;-5,"Dilute/RO","OK")))</f>
        <v/>
      </c>
    </row>
    <row r="103" spans="1:7" ht="15" customHeight="1">
      <c r="A103" t="s">
        <v>193</v>
      </c>
      <c r="B103" s="29" t="str">
        <f>IF($B$93="Select","",IFERROR(VLOOKUP($B$93,_Lookups!$AA$2:$AI$15,9,FALSE()),""))</f>
        <v/>
      </c>
      <c r="C103" s="33" t="str">
        <f>IFERROR(B90,"")</f>
        <v/>
      </c>
      <c r="D103" s="29" t="str">
        <f>IF(OR(B103="",C103=""),"",B103-C103)</f>
        <v/>
      </c>
      <c r="E103" s="29" t="str">
        <f>IF(OR(D103="",D103=0),"",IF(D103&gt;0,"Add",IF(D103&lt;-5,"Dilute/RO","OK")))</f>
        <v/>
      </c>
    </row>
    <row r="105" spans="1:7" ht="15" customHeight="1">
      <c r="A105" s="221" t="s">
        <v>194</v>
      </c>
      <c r="B105" s="214"/>
      <c r="C105" s="214"/>
      <c r="D105" s="214"/>
      <c r="E105" s="214"/>
      <c r="F105" s="214"/>
      <c r="G105" s="214"/>
    </row>
    <row r="106" spans="1:7" ht="15" customHeight="1">
      <c r="A106" s="23" t="s">
        <v>195</v>
      </c>
      <c r="B106" s="72" t="str">
        <f>IFERROR(IF(OR(C96&gt;B96+10,C97&gt;B97+5,C102&gt;50,C103&gt;B103+50),"YES - source too hard","No"),"")</f>
        <v/>
      </c>
      <c r="C106" s="23"/>
      <c r="D106" s="23"/>
      <c r="E106" s="23"/>
      <c r="F106" s="23"/>
    </row>
    <row r="107" spans="1:7" ht="15" customHeight="1">
      <c r="A107" s="23" t="s">
        <v>196</v>
      </c>
      <c r="B107" s="72" t="str">
        <f>IFERROR(IF(B106="No","Use tap water as-is",IF(AND(C103&gt;0,B103&gt;0),IF(B103&gt;=C103,"100% tap (add minerals if needed)",TEXT(ROUND(B103/C103*100,0),"0")&amp;"% tap + "&amp;TEXT(100-ROUND(B103/C103*100,0),"0")&amp;"% RO"),"")),"")</f>
        <v>100% tap (add minerals if needed)</v>
      </c>
      <c r="C107" s="23"/>
      <c r="D107" s="23"/>
      <c r="E107" s="23"/>
      <c r="F107" s="23"/>
    </row>
    <row r="108" spans="1:7" ht="15" customHeight="1">
      <c r="A108" s="23"/>
      <c r="B108" s="23"/>
      <c r="C108" s="23"/>
      <c r="D108" s="23"/>
      <c r="E108" s="23"/>
      <c r="F108" s="23"/>
    </row>
    <row r="109" spans="1:7" ht="15" customHeight="1">
      <c r="A109" s="221" t="s">
        <v>197</v>
      </c>
      <c r="B109" s="214"/>
      <c r="C109" s="214"/>
      <c r="D109" s="214"/>
      <c r="E109" s="214"/>
      <c r="F109" s="214"/>
      <c r="G109" s="214"/>
    </row>
    <row r="110" spans="1:7" ht="15" customHeight="1">
      <c r="A110" s="23" t="s">
        <v>198</v>
      </c>
      <c r="B110" s="75">
        <f>IFERROR(_Allocations!D9,"")</f>
        <v>121.07700000000001</v>
      </c>
      <c r="C110" s="23"/>
      <c r="D110" s="23"/>
      <c r="E110" s="23"/>
      <c r="F110" s="23"/>
    </row>
    <row r="111" spans="1:7" ht="15" customHeight="1">
      <c r="A111" s="23" t="s">
        <v>199</v>
      </c>
      <c r="B111" s="75">
        <f>IFERROR(_Allocations!D11,"")</f>
        <v>7.6230000000000011</v>
      </c>
      <c r="C111" s="23"/>
      <c r="D111" s="23"/>
      <c r="E111" s="23"/>
      <c r="F111" s="23"/>
    </row>
    <row r="112" spans="1:7" ht="15" customHeight="1">
      <c r="A112" s="23" t="s">
        <v>200</v>
      </c>
      <c r="B112" s="76" t="s">
        <v>17</v>
      </c>
      <c r="C112" s="23"/>
      <c r="D112" s="23"/>
      <c r="E112" s="23"/>
      <c r="F112" s="23"/>
    </row>
    <row r="113" spans="1:6" ht="15" customHeight="1">
      <c r="A113" s="23" t="s">
        <v>201</v>
      </c>
      <c r="B113" s="75">
        <f>IF(B112="Moto only",B111,B110)</f>
        <v>121.07700000000001</v>
      </c>
      <c r="C113" s="23"/>
      <c r="D113" s="23"/>
      <c r="E113" s="23"/>
      <c r="F113" s="23"/>
    </row>
    <row r="114" spans="1:6" ht="15" customHeight="1">
      <c r="A114" s="23"/>
      <c r="B114" s="77"/>
      <c r="C114" s="23"/>
      <c r="D114" s="23"/>
      <c r="E114" s="23"/>
      <c r="F114" s="23"/>
    </row>
    <row r="115" spans="1:6" ht="15" customHeight="1">
      <c r="A115" s="78" t="s">
        <v>202</v>
      </c>
      <c r="B115" s="79"/>
      <c r="C115" s="80"/>
      <c r="D115" s="80"/>
      <c r="E115" s="80"/>
      <c r="F115" s="80"/>
    </row>
    <row r="116" spans="1:6" ht="15" customHeight="1">
      <c r="A116" s="24" t="s">
        <v>203</v>
      </c>
      <c r="B116" s="81" t="s">
        <v>204</v>
      </c>
      <c r="C116" s="24" t="s">
        <v>205</v>
      </c>
      <c r="D116" s="24" t="s">
        <v>206</v>
      </c>
      <c r="E116" s="24" t="s">
        <v>207</v>
      </c>
      <c r="F116" s="23"/>
    </row>
    <row r="117" spans="1:6" ht="15" customHeight="1">
      <c r="A117" s="23" t="s">
        <v>208</v>
      </c>
      <c r="B117" s="77" t="s">
        <v>209</v>
      </c>
      <c r="C117" s="72">
        <f>IFERROR(IF(OR(D99="",D99&lt;=0),0,ROUND(D99/697.6*B113,2)),0)</f>
        <v>0</v>
      </c>
      <c r="D117" s="23" t="s">
        <v>210</v>
      </c>
      <c r="E117" s="23" t="s">
        <v>211</v>
      </c>
      <c r="F117" s="23"/>
    </row>
    <row r="118" spans="1:6" ht="15" customHeight="1">
      <c r="A118" s="23" t="s">
        <v>212</v>
      </c>
      <c r="B118" s="23" t="s">
        <v>213</v>
      </c>
      <c r="C118" s="72">
        <f>IFERROR(IF(OR(D96="",D96&lt;=0),0,ROUND(D96/232.4*B113,2)),0)</f>
        <v>0</v>
      </c>
      <c r="D118" s="23" t="s">
        <v>214</v>
      </c>
      <c r="E118" s="23" t="s">
        <v>215</v>
      </c>
      <c r="F118" s="23"/>
    </row>
    <row r="119" spans="1:6" ht="15" customHeight="1">
      <c r="A119" s="23" t="s">
        <v>216</v>
      </c>
      <c r="B119" s="23" t="s">
        <v>217</v>
      </c>
      <c r="C119" s="72">
        <f>IFERROR(IF(OR(D96="",D96&lt;=0),0,MAX(0,ROUND((D96-C118/B113*232.4)/272.2*B113,2))),0)</f>
        <v>0</v>
      </c>
      <c r="D119" s="23" t="s">
        <v>218</v>
      </c>
      <c r="E119" s="23" t="s">
        <v>219</v>
      </c>
      <c r="F119" s="23"/>
    </row>
    <row r="120" spans="1:6" ht="15" customHeight="1">
      <c r="A120" s="23" t="s">
        <v>220</v>
      </c>
      <c r="B120" s="23" t="s">
        <v>221</v>
      </c>
      <c r="C120" s="72">
        <f>IFERROR(IF(OR(D97="",D97&lt;=0),0,ROUND(D97/98.8*B113,2)),0)</f>
        <v>0</v>
      </c>
      <c r="D120" s="23" t="s">
        <v>222</v>
      </c>
      <c r="E120" s="23" t="s">
        <v>223</v>
      </c>
      <c r="F120" s="23"/>
    </row>
    <row r="121" spans="1:6" ht="15" customHeight="1">
      <c r="A121" s="23" t="s">
        <v>224</v>
      </c>
      <c r="B121" s="23" t="s">
        <v>225</v>
      </c>
      <c r="C121" s="72">
        <f>IFERROR(IF(OR(D98="",D98&lt;=0),0,MAX(0,ROUND((D98-C117/B113*287.3)/524.3*B113,2))),0)</f>
        <v>0</v>
      </c>
      <c r="D121" s="23" t="s">
        <v>226</v>
      </c>
      <c r="E121" s="23" t="s">
        <v>227</v>
      </c>
      <c r="F121" s="23"/>
    </row>
    <row r="122" spans="1:6" ht="15" customHeight="1">
      <c r="A122" s="23"/>
      <c r="B122" s="23"/>
      <c r="C122" s="23"/>
      <c r="D122" s="23"/>
      <c r="E122" s="23"/>
      <c r="F122" s="23"/>
    </row>
    <row r="123" spans="1:6" ht="15" customHeight="1">
      <c r="A123" s="24" t="s">
        <v>228</v>
      </c>
      <c r="B123" s="23"/>
      <c r="C123" s="23"/>
      <c r="D123" s="23"/>
      <c r="E123" s="23"/>
      <c r="F123" s="23"/>
    </row>
    <row r="124" spans="1:6" ht="15" customHeight="1">
      <c r="A124" s="23" t="s">
        <v>229</v>
      </c>
      <c r="B124" s="23"/>
      <c r="C124" s="23"/>
      <c r="D124" s="23"/>
      <c r="E124" s="23"/>
      <c r="F124" s="23"/>
    </row>
    <row r="125" spans="1:6" ht="15" customHeight="1">
      <c r="A125" s="23" t="s">
        <v>230</v>
      </c>
      <c r="B125" s="23"/>
      <c r="C125" s="23"/>
      <c r="D125" s="23"/>
      <c r="E125" s="23"/>
      <c r="F125" s="23"/>
    </row>
    <row r="126" spans="1:6" ht="15" customHeight="1">
      <c r="A126" t="s">
        <v>231</v>
      </c>
    </row>
    <row r="127" spans="1:6" ht="15" customHeight="1">
      <c r="A127" t="s">
        <v>232</v>
      </c>
    </row>
    <row r="128" spans="1:6" ht="15" customHeight="1">
      <c r="A128" t="s">
        <v>233</v>
      </c>
    </row>
  </sheetData>
  <mergeCells count="13">
    <mergeCell ref="A9:G9"/>
    <mergeCell ref="A3:G3"/>
    <mergeCell ref="A77:G77"/>
    <mergeCell ref="A16:G16"/>
    <mergeCell ref="A105:G105"/>
    <mergeCell ref="A109:G109"/>
    <mergeCell ref="A53:G53"/>
    <mergeCell ref="A26:G26"/>
    <mergeCell ref="A38:G38"/>
    <mergeCell ref="A92:G92"/>
    <mergeCell ref="A46:G46"/>
    <mergeCell ref="A66:G66"/>
    <mergeCell ref="A58:G58"/>
  </mergeCells>
  <dataValidations count="7">
    <dataValidation type="list" allowBlank="1" sqref="B18:B24 D18:D24" xr:uid="{00000000-0002-0000-0100-000000000000}">
      <formula1>"Select,Lot A,Lot B,Lot C,Lot D"</formula1>
    </dataValidation>
    <dataValidation type="list" allowBlank="1" sqref="B112" xr:uid="{00000000-0002-0000-0100-000001000000}">
      <formula1>"Total water,Moto only"</formula1>
    </dataValidation>
    <dataValidation type="list" allowBlank="1" sqref="B7" xr:uid="{00000000-0002-0000-0100-000002000000}">
      <formula1>"Select,Higuchi Kaori,Higuchi Ginjo #7,Higuchi Neutral,Akita Konno A-1,Bio'c Byakuya,Bio'c Kuro-koji,Marufuku Standard,Oriza Gin-1061,Oriza No.36,GEM Cultures,Vision Brewing,Custom Yellow,Custom White,Custom Black"</formula1>
    </dataValidation>
    <dataValidation type="list" allowBlank="1" sqref="B8" xr:uid="{00000000-0002-0000-0100-000003000000}">
      <formula1>"Select,Tsuki-haze (Ginjo),Sou-haze (Standard),Ueda Method,High-Enzyme (Moto),Quick Sou-haze"</formula1>
    </dataValidation>
    <dataValidation type="list" allowBlank="1" sqref="B11 B12 B13 B14" xr:uid="{00000000-0002-0000-0100-000004000000}">
      <formula1>"Select,Yamadanishiki,Gohyakumangoku,Omachi,Miyamanishiki,Hattannishiki,Dewasansan,Kame no O,Tamazakae,Hanafubuki,Ginpu,Akitasakekomachi,Calrose,Koshihikari,Custom"</formula1>
    </dataValidation>
    <dataValidation type="list" allowBlank="1" sqref="B36" xr:uid="{00000000-0002-0000-0100-000005000000}">
      <formula1>"Select,Fune (box press),Yabuta (plate press),Bag press,Free-run (shizuku),Centrifuge"</formula1>
    </dataValidation>
    <dataValidation type="list" allowBlank="1" sqref="B93" xr:uid="{00000000-0002-0000-0100-000006000000}">
      <formula1>"Select,Ginjo/Daiginjo (soft),Junmai (medium),Kimoto/Yamahai (hard),Tanrei Karakuchi (Niigata),Miyamizu Style (Nada),Fushimi Style (Kyoto),Hiroshima Style (soft),Balanced (general),Minimal (RO base),US Tap (Average)"</formula1>
    </dataValidation>
  </dataValidations>
  <pageMargins left="0.75" right="0.75" top="1" bottom="1" header="0.5" footer="0.5"/>
  <drawing r:id="rId1"/>
  <legacyDrawing r:id="rId2"/>
  <extLst>
    <ext xmlns:x14="http://schemas.microsoft.com/office/spreadsheetml/2009/9/main" uri="{CCE6A557-97BC-4b89-ADB6-D9C93CAAB3DF}">
      <x14:dataValidations xmlns:xm="http://schemas.microsoft.com/office/excel/2006/main" count="2">
        <x14:dataValidation type="list" allowBlank="1" xr:uid="{00000000-0002-0000-0100-000007000000}">
          <x14:formula1>
            <xm:f>_Presets!$A$2:$A$50</xm:f>
          </x14:formula1>
          <xm:sqref>B5</xm:sqref>
        </x14:dataValidation>
        <x14:dataValidation type="list" allowBlank="1" xr:uid="{00000000-0002-0000-0100-000008000000}">
          <x14:formula1>
            <xm:f>_Lookups!$AK$2:$AK$35</xm:f>
          </x14:formula1>
          <xm:sqref>B79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1"/>
  <sheetViews>
    <sheetView zoomScale="120" workbookViewId="0"/>
  </sheetViews>
  <sheetFormatPr baseColWidth="10" defaultColWidth="8.83203125" defaultRowHeight="15"/>
  <cols>
    <col min="1" max="1" width="24" customWidth="1"/>
    <col min="2" max="2" width="16" customWidth="1"/>
    <col min="7" max="7" width="14" customWidth="1"/>
  </cols>
  <sheetData>
    <row r="1" spans="1:9" ht="17.25" customHeight="1">
      <c r="A1" s="82" t="s">
        <v>234</v>
      </c>
      <c r="B1" s="23"/>
      <c r="C1" s="23"/>
      <c r="D1" s="23"/>
      <c r="E1" s="23"/>
      <c r="F1" s="23"/>
      <c r="G1" s="23" t="str">
        <f>Recipe!F1</f>
        <v>v539</v>
      </c>
      <c r="H1" s="23"/>
      <c r="I1" s="23"/>
    </row>
    <row r="2" spans="1:9" ht="15" customHeight="1">
      <c r="A2" s="23"/>
      <c r="B2" s="23"/>
      <c r="C2" s="23"/>
      <c r="D2" s="23"/>
      <c r="E2" s="23"/>
      <c r="F2" s="23"/>
      <c r="G2" s="23"/>
      <c r="H2" s="23"/>
      <c r="I2" s="23"/>
    </row>
    <row r="3" spans="1:9" ht="15" customHeight="1">
      <c r="A3" s="221" t="s">
        <v>235</v>
      </c>
      <c r="B3" s="214"/>
      <c r="C3" s="214"/>
      <c r="D3" s="214"/>
      <c r="E3" s="214"/>
      <c r="F3" s="214"/>
      <c r="G3" s="214"/>
      <c r="H3" s="23"/>
      <c r="I3" s="23"/>
    </row>
    <row r="4" spans="1:9" ht="15" customHeight="1">
      <c r="A4" s="23" t="s">
        <v>236</v>
      </c>
      <c r="B4" s="69" t="s">
        <v>17</v>
      </c>
      <c r="C4" s="23"/>
      <c r="D4" s="23"/>
      <c r="E4" s="23"/>
      <c r="F4" s="23"/>
      <c r="G4" s="23"/>
      <c r="H4" s="23"/>
      <c r="I4" s="23"/>
    </row>
    <row r="5" spans="1:9" ht="15" customHeight="1">
      <c r="A5" s="23" t="s">
        <v>237</v>
      </c>
      <c r="B5" s="83" t="str">
        <f>IFERROR(IF(Recipe!B8="Select ▽","→ See Recipe",Recipe!B8),"")</f>
        <v>→ See Recipe</v>
      </c>
      <c r="C5" s="23"/>
      <c r="D5" s="23"/>
      <c r="E5" s="23"/>
      <c r="F5" s="23"/>
      <c r="G5" s="23"/>
      <c r="H5" s="23"/>
      <c r="I5" s="23"/>
    </row>
    <row r="6" spans="1:9" ht="15" customHeight="1">
      <c r="A6" t="s">
        <v>238</v>
      </c>
      <c r="B6" s="22" t="s">
        <v>17</v>
      </c>
    </row>
    <row r="7" spans="1:9" ht="15" customHeight="1">
      <c r="A7" t="s">
        <v>239</v>
      </c>
      <c r="B7" s="84" t="str">
        <f>IFERROR(IF(B6="Lot A",IF(Recipe!C11="","→ See Recipe",Recipe!C11),IF(B6="Lot B",IF(Recipe!C12="","→ See Recipe",Recipe!C12),IF(B6="Lot C",IF(Recipe!C13="","→ See Recipe",Recipe!C13),IF(B6="Lot D",IF(Recipe!C14="","→ See Recipe",Recipe!C14),"→ Select lot")))),"→ See Recipe")</f>
        <v>→ Select lot</v>
      </c>
      <c r="C7" t="s">
        <v>113</v>
      </c>
    </row>
    <row r="8" spans="1:9" ht="15" customHeight="1">
      <c r="A8" t="s">
        <v>240</v>
      </c>
      <c r="B8" s="84" t="str">
        <f>IFERROR(IF(OR(B7="→ See Recipe",B7="→ Select lot"),"",ROUND((70-B7)*0.2,1)),"")</f>
        <v/>
      </c>
      <c r="C8" t="s">
        <v>241</v>
      </c>
    </row>
    <row r="9" spans="1:9" ht="15" customHeight="1">
      <c r="A9" s="23" t="s">
        <v>242</v>
      </c>
      <c r="B9" s="85"/>
      <c r="C9" s="23"/>
      <c r="D9" s="23"/>
      <c r="E9" s="23"/>
      <c r="F9" s="23"/>
      <c r="G9" s="23"/>
      <c r="H9" s="23"/>
      <c r="I9" s="23"/>
    </row>
    <row r="10" spans="1:9" ht="15" customHeight="1">
      <c r="A10" s="23" t="s">
        <v>243</v>
      </c>
      <c r="B10" s="86" t="str">
        <f ca="1">IFERROR(IF(OR(B9="",ISBLANK(B9)),"",(NOW()-B9)*24),"")</f>
        <v/>
      </c>
      <c r="C10" s="23" t="s">
        <v>241</v>
      </c>
      <c r="D10" s="23"/>
      <c r="E10" s="23"/>
      <c r="F10" s="23"/>
      <c r="G10" s="23"/>
      <c r="H10" s="23"/>
      <c r="I10" s="23"/>
    </row>
    <row r="11" spans="1:9" ht="15" customHeight="1">
      <c r="A11" s="23"/>
      <c r="B11" s="23"/>
      <c r="C11" s="23"/>
      <c r="D11" s="23"/>
      <c r="E11" s="23"/>
      <c r="F11" s="23"/>
      <c r="G11" s="23"/>
      <c r="H11" s="23"/>
      <c r="I11" s="23"/>
    </row>
    <row r="12" spans="1:9" ht="15" customHeight="1">
      <c r="A12" s="221" t="s">
        <v>244</v>
      </c>
      <c r="B12" s="214"/>
      <c r="C12" s="214"/>
      <c r="D12" s="214"/>
      <c r="E12" s="214"/>
      <c r="F12" s="214"/>
      <c r="G12" s="214"/>
      <c r="H12" s="23"/>
      <c r="I12" s="23"/>
    </row>
    <row r="13" spans="1:9" ht="15" customHeight="1">
      <c r="A13" s="23" t="s">
        <v>245</v>
      </c>
      <c r="B13" s="87" t="s">
        <v>246</v>
      </c>
      <c r="C13" s="23"/>
      <c r="D13" s="23"/>
      <c r="E13" s="23"/>
      <c r="F13" s="23"/>
      <c r="G13" s="23"/>
      <c r="H13" s="23"/>
      <c r="I13" s="23"/>
    </row>
    <row r="14" spans="1:9" ht="15" customHeight="1">
      <c r="A14" s="23" t="s">
        <v>247</v>
      </c>
      <c r="B14" s="87" t="s">
        <v>248</v>
      </c>
      <c r="C14" s="23"/>
      <c r="D14" s="23"/>
      <c r="E14" s="23"/>
      <c r="F14" s="23"/>
      <c r="G14" s="23"/>
      <c r="H14" s="23"/>
      <c r="I14" s="23"/>
    </row>
    <row r="15" spans="1:9" ht="15" customHeight="1">
      <c r="A15" s="23" t="s">
        <v>249</v>
      </c>
      <c r="B15" s="87" t="s">
        <v>250</v>
      </c>
      <c r="C15" s="23"/>
      <c r="D15" s="23"/>
      <c r="E15" s="23"/>
      <c r="F15" s="23"/>
      <c r="G15" s="23"/>
      <c r="H15" s="23"/>
      <c r="I15" s="23"/>
    </row>
    <row r="16" spans="1:9" ht="15" customHeight="1">
      <c r="A16" s="23" t="s">
        <v>251</v>
      </c>
      <c r="B16" s="87" t="str">
        <f>IF(OR($B$4="Ueda (Tarai)",$B$4="Ueda Fast"),"1.19× (dried)","1.40×")</f>
        <v>1.40×</v>
      </c>
      <c r="C16" s="72"/>
      <c r="D16" s="23"/>
      <c r="E16" s="23"/>
      <c r="F16" s="23"/>
      <c r="G16" s="23"/>
      <c r="H16" s="23"/>
      <c r="I16" s="23"/>
    </row>
    <row r="17" spans="1:9" ht="15" customHeight="1">
      <c r="A17" s="23" t="s">
        <v>252</v>
      </c>
      <c r="B17" s="87" t="s">
        <v>253</v>
      </c>
      <c r="C17" s="23"/>
      <c r="D17" s="23"/>
      <c r="E17" s="23"/>
      <c r="F17" s="23"/>
      <c r="G17" s="23"/>
      <c r="H17" s="23"/>
      <c r="I17" s="23"/>
    </row>
    <row r="18" spans="1:9" ht="15" customHeight="1">
      <c r="A18" s="23" t="s">
        <v>254</v>
      </c>
      <c r="B18" s="87" t="s">
        <v>255</v>
      </c>
      <c r="C18" s="24"/>
      <c r="D18" s="23"/>
      <c r="E18" s="23"/>
      <c r="F18" s="23"/>
      <c r="G18" s="23"/>
      <c r="H18" s="23"/>
      <c r="I18" s="23"/>
    </row>
    <row r="19" spans="1:9" ht="15" customHeight="1">
      <c r="A19" s="23"/>
      <c r="B19" s="23"/>
      <c r="C19" s="23"/>
      <c r="D19" s="23"/>
      <c r="E19" s="23"/>
      <c r="F19" s="23"/>
      <c r="G19" s="23"/>
      <c r="H19" s="23"/>
      <c r="I19" s="23"/>
    </row>
    <row r="20" spans="1:9" ht="15" customHeight="1">
      <c r="A20" s="221" t="s">
        <v>256</v>
      </c>
      <c r="B20" s="214"/>
      <c r="C20" s="214"/>
      <c r="D20" s="214"/>
      <c r="E20" s="214"/>
      <c r="F20" s="214"/>
      <c r="G20" s="214"/>
      <c r="H20" s="23"/>
      <c r="I20" s="23"/>
    </row>
    <row r="21" spans="1:9" ht="15" customHeight="1">
      <c r="A21" s="24" t="s">
        <v>203</v>
      </c>
      <c r="B21" s="24" t="s">
        <v>257</v>
      </c>
      <c r="C21" s="24" t="s">
        <v>258</v>
      </c>
      <c r="D21" s="24" t="s">
        <v>181</v>
      </c>
      <c r="E21" s="24" t="s">
        <v>259</v>
      </c>
      <c r="F21" s="24" t="s">
        <v>260</v>
      </c>
      <c r="G21" s="24"/>
      <c r="H21" s="23"/>
      <c r="I21" s="23"/>
    </row>
    <row r="22" spans="1:9" ht="15" customHeight="1">
      <c r="A22" s="72" t="str">
        <f ca="1">IFERROR(IF(VLOOKUP($B$4,_Lookups!$CB:$CG,2,FALSE())="","",INDIRECT("_Lookups!"&amp;ADDRESS(1+1,VLOOKUP($B$4,_Lookups!$CB:$CG,2,FALSE())))),"")</f>
        <v/>
      </c>
      <c r="B22" s="88" t="str">
        <f ca="1">IFERROR(IF(VLOOKUP($B$4,_Lookups!$CB:$CG,3,FALSE())="","",IF(INDIRECT("_Lookups!"&amp;ADDRESS(1+1,VLOOKUP($B$4,_Lookups!$CB:$CG,3,FALSE())))="","",IF(INDIRECT("_Lookups!"&amp;ADDRESS(1+1,VLOOKUP($B$4,_Lookups!$CB:$CG,3,FALSE())))&lt;0,INDIRECT("_Lookups!"&amp;ADDRESS(1+1,VLOOKUP($B$4,_Lookups!$CB:$CG,3,FALSE())))&amp;" h","+"&amp;INDIRECT("_Lookups!"&amp;ADDRESS(1+1,VLOOKUP($B$4,_Lookups!$CB:$CG,3,FALSE())))&amp;" h"))),"")</f>
        <v/>
      </c>
      <c r="C22" s="88" t="str">
        <f ca="1">IFERROR(IF(VLOOKUP($B$4,_Lookups!$CB:$CG,4,FALSE())="","",INDIRECT("_Lookups!"&amp;ADDRESS(1+1,VLOOKUP($B$4,_Lookups!$CB:$CG,4,FALSE())))),"")</f>
        <v/>
      </c>
      <c r="D22" s="86" t="str">
        <f ca="1">IFERROR(IF(VLOOKUP($B$4,_Lookups!$CB:$CG,5,FALSE())="","",INDIRECT("_Lookups!"&amp;ADDRESS(1+1,VLOOKUP($B$4,_Lookups!$CB:$CG,5,FALSE())))),"")</f>
        <v/>
      </c>
      <c r="E22" s="72" t="str">
        <f t="shared" ref="E22:E31" si="0">IFERROR(IF(A19="","",IF(ISNUMBER(SEARCH("Soak",A19)),TEXT($B$11,"0.00")&amp;" kg",IF(ISNUMBER(SEARCH("Steam",A19)),TEXT($B$12,"0.00")&amp;" kg",IF(ISNUMBER(SEARCH("DRY DOWN",A19)),TEXT($B$13,"0.00")&amp;" kg",IF(ISNUMBER(SEARCH("Dekoji",A19)),TEXT($B$15,"0.00")&amp;" kg",""))))),"")</f>
        <v/>
      </c>
      <c r="F22" s="89" t="str">
        <f t="shared" ref="F22:F31" si="1">IFERROR(IF(OR(A19="",$B$9=""),"",IF(LEFT(B19,1)="+",$B$9+VALUE(SUBSTITUTE(B19," h",""))/24,IF(LEFT(B19,1)="-",$B$9+VALUE(SUBSTITUTE(B19," h",""))/24,$B$9))),"")</f>
        <v/>
      </c>
      <c r="G22" s="90"/>
      <c r="H22" s="23"/>
      <c r="I22" s="23"/>
    </row>
    <row r="23" spans="1:9" ht="15" customHeight="1">
      <c r="A23" s="72" t="str">
        <f ca="1">IFERROR(IF(VLOOKUP($B$4,_Lookups!$CB:$CG,2,FALSE())="","",INDIRECT("_Lookups!"&amp;ADDRESS(2+1,VLOOKUP($B$4,_Lookups!$CB:$CG,2,FALSE())))),"")</f>
        <v/>
      </c>
      <c r="B23" s="88" t="str">
        <f ca="1">IFERROR(IF(VLOOKUP($B$4,_Lookups!$CB:$CG,3,FALSE())="","",IF(INDIRECT("_Lookups!"&amp;ADDRESS(2+1,VLOOKUP($B$4,_Lookups!$CB:$CG,3,FALSE())))="","",IF(INDIRECT("_Lookups!"&amp;ADDRESS(2+1,VLOOKUP($B$4,_Lookups!$CB:$CG,3,FALSE())))&lt;0,INDIRECT("_Lookups!"&amp;ADDRESS(2+1,VLOOKUP($B$4,_Lookups!$CB:$CG,3,FALSE())))&amp;" h","+"&amp;INDIRECT("_Lookups!"&amp;ADDRESS(2+1,VLOOKUP($B$4,_Lookups!$CB:$CG,3,FALSE())))&amp;" h"))),"")</f>
        <v/>
      </c>
      <c r="C23" s="88" t="str">
        <f ca="1">IFERROR(IF(VLOOKUP($B$4,_Lookups!$CB:$CG,4,FALSE())="","",INDIRECT("_Lookups!"&amp;ADDRESS(2+1,VLOOKUP($B$4,_Lookups!$CB:$CG,4,FALSE())))),"")</f>
        <v/>
      </c>
      <c r="D23" s="86" t="str">
        <f ca="1">IFERROR(IF(VLOOKUP($B$4,_Lookups!$CB:$CG,5,FALSE())="","",INDIRECT("_Lookups!"&amp;ADDRESS(2+1,VLOOKUP($B$4,_Lookups!$CB:$CG,5,FALSE())))),"")</f>
        <v/>
      </c>
      <c r="E23" s="72" t="str">
        <f t="shared" si="0"/>
        <v/>
      </c>
      <c r="F23" s="89" t="str">
        <f t="shared" si="1"/>
        <v/>
      </c>
      <c r="G23" s="90"/>
      <c r="H23" s="23"/>
      <c r="I23" s="23"/>
    </row>
    <row r="24" spans="1:9" ht="15" customHeight="1">
      <c r="A24" s="72" t="str">
        <f ca="1">IFERROR(IF(VLOOKUP($B$4,_Lookups!$CB:$CG,2,FALSE())="","",INDIRECT("_Lookups!"&amp;ADDRESS(3+1,VLOOKUP($B$4,_Lookups!$CB:$CG,2,FALSE())))),"")</f>
        <v/>
      </c>
      <c r="B24" s="88" t="str">
        <f ca="1">IFERROR(IF(VLOOKUP($B$4,_Lookups!$CB:$CG,3,FALSE())="","",IF(INDIRECT("_Lookups!"&amp;ADDRESS(3+1,VLOOKUP($B$4,_Lookups!$CB:$CG,3,FALSE())))="","",IF(INDIRECT("_Lookups!"&amp;ADDRESS(3+1,VLOOKUP($B$4,_Lookups!$CB:$CG,3,FALSE())))&lt;0,INDIRECT("_Lookups!"&amp;ADDRESS(3+1,VLOOKUP($B$4,_Lookups!$CB:$CG,3,FALSE())))&amp;" h","+"&amp;INDIRECT("_Lookups!"&amp;ADDRESS(3+1,VLOOKUP($B$4,_Lookups!$CB:$CG,3,FALSE())))&amp;" h"))),"")</f>
        <v/>
      </c>
      <c r="C24" s="88" t="str">
        <f ca="1">IFERROR(IF(VLOOKUP($B$4,_Lookups!$CB:$CG,4,FALSE())="","",INDIRECT("_Lookups!"&amp;ADDRESS(3+1,VLOOKUP($B$4,_Lookups!$CB:$CG,4,FALSE())))),"")</f>
        <v/>
      </c>
      <c r="D24" s="86" t="str">
        <f ca="1">IFERROR(IF(VLOOKUP($B$4,_Lookups!$CB:$CG,5,FALSE())="","",INDIRECT("_Lookups!"&amp;ADDRESS(3+1,VLOOKUP($B$4,_Lookups!$CB:$CG,5,FALSE())))),"")</f>
        <v/>
      </c>
      <c r="E24" s="72" t="str">
        <f t="shared" si="0"/>
        <v/>
      </c>
      <c r="F24" s="89" t="str">
        <f t="shared" si="1"/>
        <v/>
      </c>
      <c r="G24" s="90"/>
      <c r="H24" s="23"/>
      <c r="I24" s="23"/>
    </row>
    <row r="25" spans="1:9" ht="15" customHeight="1">
      <c r="A25" s="72" t="str">
        <f ca="1">IFERROR(IF(VLOOKUP($B$4,_Lookups!$CB:$CG,2,FALSE())="","",INDIRECT("_Lookups!"&amp;ADDRESS(4+1,VLOOKUP($B$4,_Lookups!$CB:$CG,2,FALSE())))),"")</f>
        <v/>
      </c>
      <c r="B25" s="88" t="str">
        <f ca="1">IFERROR(IF(VLOOKUP($B$4,_Lookups!$CB:$CG,3,FALSE())="","",IF(INDIRECT("_Lookups!"&amp;ADDRESS(4+1,VLOOKUP($B$4,_Lookups!$CB:$CG,3,FALSE())))="","",IF(INDIRECT("_Lookups!"&amp;ADDRESS(4+1,VLOOKUP($B$4,_Lookups!$CB:$CG,3,FALSE())))&lt;0,INDIRECT("_Lookups!"&amp;ADDRESS(4+1,VLOOKUP($B$4,_Lookups!$CB:$CG,3,FALSE())))&amp;" h","+"&amp;INDIRECT("_Lookups!"&amp;ADDRESS(4+1,VLOOKUP($B$4,_Lookups!$CB:$CG,3,FALSE())))&amp;" h"))),"")</f>
        <v/>
      </c>
      <c r="C25" s="88" t="str">
        <f ca="1">IFERROR(IF(VLOOKUP($B$4,_Lookups!$CB:$CG,4,FALSE())="","",INDIRECT("_Lookups!"&amp;ADDRESS(4+1,VLOOKUP($B$4,_Lookups!$CB:$CG,4,FALSE())))),"")</f>
        <v/>
      </c>
      <c r="D25" s="86" t="str">
        <f ca="1">IFERROR(IF(VLOOKUP($B$4,_Lookups!$CB:$CG,5,FALSE())="","",INDIRECT("_Lookups!"&amp;ADDRESS(4+1,VLOOKUP($B$4,_Lookups!$CB:$CG,5,FALSE())))),"")</f>
        <v/>
      </c>
      <c r="E25" s="72" t="str">
        <f t="shared" ca="1" si="0"/>
        <v/>
      </c>
      <c r="F25" s="89" t="str">
        <f t="shared" ca="1" si="1"/>
        <v/>
      </c>
      <c r="G25" s="90"/>
      <c r="H25" s="23"/>
      <c r="I25" s="23"/>
    </row>
    <row r="26" spans="1:9" ht="15" customHeight="1">
      <c r="A26" s="72" t="str">
        <f ca="1">IFERROR(IF(VLOOKUP($B$4,_Lookups!$CB:$CG,2,FALSE())="","",INDIRECT("_Lookups!"&amp;ADDRESS(5+1,VLOOKUP($B$4,_Lookups!$CB:$CG,2,FALSE())))),"")</f>
        <v/>
      </c>
      <c r="B26" s="88" t="str">
        <f ca="1">IFERROR(IF(VLOOKUP($B$4,_Lookups!$CB:$CG,3,FALSE())="","",IF(INDIRECT("_Lookups!"&amp;ADDRESS(5+1,VLOOKUP($B$4,_Lookups!$CB:$CG,3,FALSE())))="","",IF(INDIRECT("_Lookups!"&amp;ADDRESS(5+1,VLOOKUP($B$4,_Lookups!$CB:$CG,3,FALSE())))&lt;0,INDIRECT("_Lookups!"&amp;ADDRESS(5+1,VLOOKUP($B$4,_Lookups!$CB:$CG,3,FALSE())))&amp;" h","+"&amp;INDIRECT("_Lookups!"&amp;ADDRESS(5+1,VLOOKUP($B$4,_Lookups!$CB:$CG,3,FALSE())))&amp;" h"))),"")</f>
        <v/>
      </c>
      <c r="C26" s="88" t="str">
        <f ca="1">IFERROR(IF(VLOOKUP($B$4,_Lookups!$CB:$CG,4,FALSE())="","",INDIRECT("_Lookups!"&amp;ADDRESS(5+1,VLOOKUP($B$4,_Lookups!$CB:$CG,4,FALSE())))),"")</f>
        <v/>
      </c>
      <c r="D26" s="86" t="str">
        <f ca="1">IFERROR(IF(VLOOKUP($B$4,_Lookups!$CB:$CG,5,FALSE())="","",INDIRECT("_Lookups!"&amp;ADDRESS(5+1,VLOOKUP($B$4,_Lookups!$CB:$CG,5,FALSE())))),"")</f>
        <v/>
      </c>
      <c r="E26" s="72" t="str">
        <f t="shared" ca="1" si="0"/>
        <v/>
      </c>
      <c r="F26" s="89" t="str">
        <f t="shared" ca="1" si="1"/>
        <v/>
      </c>
      <c r="G26" s="90"/>
      <c r="H26" s="23"/>
      <c r="I26" s="23"/>
    </row>
    <row r="27" spans="1:9" ht="15" customHeight="1">
      <c r="A27" s="72" t="str">
        <f ca="1">IFERROR(IF(VLOOKUP($B$4,_Lookups!$CB:$CG,2,FALSE())="","",INDIRECT("_Lookups!"&amp;ADDRESS(6+1,VLOOKUP($B$4,_Lookups!$CB:$CG,2,FALSE())))),"")</f>
        <v/>
      </c>
      <c r="B27" s="88" t="str">
        <f ca="1">IFERROR(IF(VLOOKUP($B$4,_Lookups!$CB:$CG,3,FALSE())="","",IF(INDIRECT("_Lookups!"&amp;ADDRESS(6+1,VLOOKUP($B$4,_Lookups!$CB:$CG,3,FALSE())))="","",IF(INDIRECT("_Lookups!"&amp;ADDRESS(6+1,VLOOKUP($B$4,_Lookups!$CB:$CG,3,FALSE())))&lt;0,INDIRECT("_Lookups!"&amp;ADDRESS(6+1,VLOOKUP($B$4,_Lookups!$CB:$CG,3,FALSE())))&amp;" h","+"&amp;INDIRECT("_Lookups!"&amp;ADDRESS(6+1,VLOOKUP($B$4,_Lookups!$CB:$CG,3,FALSE())))&amp;" h"))),"")</f>
        <v/>
      </c>
      <c r="C27" s="88" t="str">
        <f ca="1">IFERROR(IF(VLOOKUP($B$4,_Lookups!$CB:$CG,4,FALSE())="","",INDIRECT("_Lookups!"&amp;ADDRESS(6+1,VLOOKUP($B$4,_Lookups!$CB:$CG,4,FALSE())))),"")</f>
        <v/>
      </c>
      <c r="D27" s="86" t="str">
        <f ca="1">IFERROR(IF(VLOOKUP($B$4,_Lookups!$CB:$CG,5,FALSE())="","",INDIRECT("_Lookups!"&amp;ADDRESS(6+1,VLOOKUP($B$4,_Lookups!$CB:$CG,5,FALSE())))),"")</f>
        <v/>
      </c>
      <c r="E27" s="72" t="str">
        <f t="shared" ca="1" si="0"/>
        <v/>
      </c>
      <c r="F27" s="89" t="str">
        <f t="shared" ca="1" si="1"/>
        <v/>
      </c>
      <c r="G27" s="90"/>
      <c r="H27" s="23"/>
      <c r="I27" s="23"/>
    </row>
    <row r="28" spans="1:9" ht="15" customHeight="1">
      <c r="A28" s="72" t="str">
        <f ca="1">IFERROR(IF(VLOOKUP($B$4,_Lookups!$CB:$CG,2,FALSE())="","",INDIRECT("_Lookups!"&amp;ADDRESS(7+1,VLOOKUP($B$4,_Lookups!$CB:$CG,2,FALSE())))),"")</f>
        <v/>
      </c>
      <c r="B28" s="88" t="str">
        <f ca="1">IFERROR(IF(VLOOKUP($B$4,_Lookups!$CB:$CG,3,FALSE())="","",IF(INDIRECT("_Lookups!"&amp;ADDRESS(7+1,VLOOKUP($B$4,_Lookups!$CB:$CG,3,FALSE())))="","",IF(INDIRECT("_Lookups!"&amp;ADDRESS(7+1,VLOOKUP($B$4,_Lookups!$CB:$CG,3,FALSE())))&lt;0,INDIRECT("_Lookups!"&amp;ADDRESS(7+1,VLOOKUP($B$4,_Lookups!$CB:$CG,3,FALSE())))&amp;" h","+"&amp;INDIRECT("_Lookups!"&amp;ADDRESS(7+1,VLOOKUP($B$4,_Lookups!$CB:$CG,3,FALSE())))&amp;" h"))),"")</f>
        <v/>
      </c>
      <c r="C28" s="88" t="str">
        <f ca="1">IFERROR(IF(VLOOKUP($B$4,_Lookups!$CB:$CG,4,FALSE())="","",INDIRECT("_Lookups!"&amp;ADDRESS(7+1,VLOOKUP($B$4,_Lookups!$CB:$CG,4,FALSE())))),"")</f>
        <v/>
      </c>
      <c r="D28" s="86" t="str">
        <f ca="1">IFERROR(IF(VLOOKUP($B$4,_Lookups!$CB:$CG,5,FALSE())="","",INDIRECT("_Lookups!"&amp;ADDRESS(7+1,VLOOKUP($B$4,_Lookups!$CB:$CG,5,FALSE())))),"")</f>
        <v/>
      </c>
      <c r="E28" s="72" t="str">
        <f t="shared" ca="1" si="0"/>
        <v/>
      </c>
      <c r="F28" s="89" t="str">
        <f t="shared" ca="1" si="1"/>
        <v/>
      </c>
      <c r="G28" s="90"/>
      <c r="H28" s="23"/>
      <c r="I28" s="23"/>
    </row>
    <row r="29" spans="1:9" ht="15" customHeight="1">
      <c r="A29" s="72" t="str">
        <f ca="1">IFERROR(IF(VLOOKUP($B$4,_Lookups!$CB:$CG,2,FALSE())="","",INDIRECT("_Lookups!"&amp;ADDRESS(8+1,VLOOKUP($B$4,_Lookups!$CB:$CG,2,FALSE())))),"")</f>
        <v/>
      </c>
      <c r="B29" s="88" t="str">
        <f ca="1">IFERROR(IF(VLOOKUP($B$4,_Lookups!$CB:$CG,3,FALSE())="","",IF(INDIRECT("_Lookups!"&amp;ADDRESS(8+1,VLOOKUP($B$4,_Lookups!$CB:$CG,3,FALSE())))="","",IF(INDIRECT("_Lookups!"&amp;ADDRESS(8+1,VLOOKUP($B$4,_Lookups!$CB:$CG,3,FALSE())))&lt;0,INDIRECT("_Lookups!"&amp;ADDRESS(8+1,VLOOKUP($B$4,_Lookups!$CB:$CG,3,FALSE())))&amp;" h","+"&amp;INDIRECT("_Lookups!"&amp;ADDRESS(8+1,VLOOKUP($B$4,_Lookups!$CB:$CG,3,FALSE())))&amp;" h"))),"")</f>
        <v/>
      </c>
      <c r="C29" s="88" t="str">
        <f ca="1">IFERROR(IF(VLOOKUP($B$4,_Lookups!$CB:$CG,4,FALSE())="","",INDIRECT("_Lookups!"&amp;ADDRESS(8+1,VLOOKUP($B$4,_Lookups!$CB:$CG,4,FALSE())))),"")</f>
        <v/>
      </c>
      <c r="D29" s="86" t="str">
        <f ca="1">IFERROR(IF(VLOOKUP($B$4,_Lookups!$CB:$CG,5,FALSE())="","",INDIRECT("_Lookups!"&amp;ADDRESS(8+1,VLOOKUP($B$4,_Lookups!$CB:$CG,5,FALSE())))),"")</f>
        <v/>
      </c>
      <c r="E29" s="72" t="str">
        <f t="shared" ca="1" si="0"/>
        <v/>
      </c>
      <c r="F29" s="89" t="str">
        <f t="shared" ca="1" si="1"/>
        <v/>
      </c>
      <c r="G29" s="90"/>
      <c r="H29" s="23"/>
      <c r="I29" s="23"/>
    </row>
    <row r="30" spans="1:9" ht="15" customHeight="1">
      <c r="A30" s="72" t="str">
        <f ca="1">IFERROR(IF(VLOOKUP($B$4,_Lookups!$CB:$CG,2,FALSE())="","",INDIRECT("_Lookups!"&amp;ADDRESS(9+1,VLOOKUP($B$4,_Lookups!$CB:$CG,2,FALSE())))),"")</f>
        <v/>
      </c>
      <c r="B30" s="88" t="str">
        <f ca="1">IFERROR(IF(VLOOKUP($B$4,_Lookups!$CB:$CG,3,FALSE())="","",IF(INDIRECT("_Lookups!"&amp;ADDRESS(9+1,VLOOKUP($B$4,_Lookups!$CB:$CG,3,FALSE())))="","",IF(INDIRECT("_Lookups!"&amp;ADDRESS(9+1,VLOOKUP($B$4,_Lookups!$CB:$CG,3,FALSE())))&lt;0,INDIRECT("_Lookups!"&amp;ADDRESS(9+1,VLOOKUP($B$4,_Lookups!$CB:$CG,3,FALSE())))&amp;" h","+"&amp;INDIRECT("_Lookups!"&amp;ADDRESS(9+1,VLOOKUP($B$4,_Lookups!$CB:$CG,3,FALSE())))&amp;" h"))),"")</f>
        <v/>
      </c>
      <c r="C30" s="88" t="str">
        <f ca="1">IFERROR(IF(VLOOKUP($B$4,_Lookups!$CB:$CG,4,FALSE())="","",INDIRECT("_Lookups!"&amp;ADDRESS(9+1,VLOOKUP($B$4,_Lookups!$CB:$CG,4,FALSE())))),"")</f>
        <v/>
      </c>
      <c r="D30" s="86" t="str">
        <f ca="1">IFERROR(IF(VLOOKUP($B$4,_Lookups!$CB:$CG,5,FALSE())="","",INDIRECT("_Lookups!"&amp;ADDRESS(9+1,VLOOKUP($B$4,_Lookups!$CB:$CG,5,FALSE())))),"")</f>
        <v/>
      </c>
      <c r="E30" s="72" t="str">
        <f t="shared" ca="1" si="0"/>
        <v/>
      </c>
      <c r="F30" s="89" t="str">
        <f t="shared" ca="1" si="1"/>
        <v/>
      </c>
      <c r="G30" s="90"/>
      <c r="H30" s="23"/>
      <c r="I30" s="23"/>
    </row>
    <row r="31" spans="1:9" ht="15" customHeight="1">
      <c r="A31" s="72" t="str">
        <f ca="1">IFERROR(IF(VLOOKUP($B$4,_Lookups!$CB:$CG,2,FALSE())="","",INDIRECT("_Lookups!"&amp;ADDRESS(10+1,VLOOKUP($B$4,_Lookups!$CB:$CG,2,FALSE())))),"")</f>
        <v/>
      </c>
      <c r="B31" s="88" t="str">
        <f ca="1">IFERROR(IF(VLOOKUP($B$4,_Lookups!$CB:$CG,3,FALSE())="","",IF(INDIRECT("_Lookups!"&amp;ADDRESS(10+1,VLOOKUP($B$4,_Lookups!$CB:$CG,3,FALSE())))="","",IF(INDIRECT("_Lookups!"&amp;ADDRESS(10+1,VLOOKUP($B$4,_Lookups!$CB:$CG,3,FALSE())))&lt;0,INDIRECT("_Lookups!"&amp;ADDRESS(10+1,VLOOKUP($B$4,_Lookups!$CB:$CG,3,FALSE())))&amp;" h","+"&amp;INDIRECT("_Lookups!"&amp;ADDRESS(10+1,VLOOKUP($B$4,_Lookups!$CB:$CG,3,FALSE())))&amp;" h"))),"")</f>
        <v/>
      </c>
      <c r="C31" s="88" t="str">
        <f ca="1">IFERROR(IF(VLOOKUP($B$4,_Lookups!$CB:$CG,4,FALSE())="","",INDIRECT("_Lookups!"&amp;ADDRESS(10+1,VLOOKUP($B$4,_Lookups!$CB:$CG,4,FALSE())))),"")</f>
        <v/>
      </c>
      <c r="D31" s="86" t="str">
        <f ca="1">IFERROR(IF(VLOOKUP($B$4,_Lookups!$CB:$CG,5,FALSE())="","",INDIRECT("_Lookups!"&amp;ADDRESS(10+1,VLOOKUP($B$4,_Lookups!$CB:$CG,5,FALSE())))),"")</f>
        <v/>
      </c>
      <c r="E31" s="72" t="str">
        <f t="shared" ca="1" si="0"/>
        <v/>
      </c>
      <c r="F31" s="89" t="str">
        <f t="shared" ca="1" si="1"/>
        <v/>
      </c>
      <c r="G31" s="90"/>
      <c r="H31" s="23"/>
      <c r="I31" s="23"/>
    </row>
    <row r="32" spans="1:9" ht="15" customHeight="1">
      <c r="A32" s="223" t="str">
        <f ca="1">IFERROR(IF(VLOOKUP($B$4,_Lookups!$CB:$CG,2,FALSE())="","",INDIRECT("_Lookups!"&amp;ADDRESS(11+1,VLOOKUP($B$4,_Lookups!$CB:$CG,2,FALSE())))),"")</f>
        <v/>
      </c>
      <c r="B32" s="214"/>
      <c r="C32" s="214"/>
      <c r="D32" s="214"/>
      <c r="E32" s="214"/>
      <c r="F32" s="214"/>
      <c r="G32" s="214"/>
      <c r="H32" s="23"/>
      <c r="I32" s="23"/>
    </row>
    <row r="33" spans="1:9" ht="15" customHeight="1">
      <c r="A33" s="72" t="str">
        <f ca="1">IFERROR(IF(VLOOKUP($B$4,_Lookups!$CB:$CG,2,FALSE())="","",INDIRECT("_Lookups!"&amp;ADDRESS(12+1,VLOOKUP($B$4,_Lookups!$CB:$CG,2,FALSE())))),"")</f>
        <v/>
      </c>
      <c r="B33" s="88" t="str">
        <f ca="1">IFERROR(IF(VLOOKUP($B$4,_Lookups!$CB:$CG,3,FALSE())="","",IF(INDIRECT("_Lookups!"&amp;ADDRESS(12+1,VLOOKUP($B$4,_Lookups!$CB:$CG,3,FALSE())))="","",IF(INDIRECT("_Lookups!"&amp;ADDRESS(12+1,VLOOKUP($B$4,_Lookups!$CB:$CG,3,FALSE())))&lt;0,INDIRECT("_Lookups!"&amp;ADDRESS(12+1,VLOOKUP($B$4,_Lookups!$CB:$CG,3,FALSE())))&amp;" h","+"&amp;INDIRECT("_Lookups!"&amp;ADDRESS(12+1,VLOOKUP($B$4,_Lookups!$CB:$CG,3,FALSE())))&amp;" h"))),"")</f>
        <v/>
      </c>
      <c r="C33" s="88" t="str">
        <f ca="1">IFERROR(IF(VLOOKUP($B$4,_Lookups!$CB:$CG,4,FALSE())="","",INDIRECT("_Lookups!"&amp;ADDRESS(12+1,VLOOKUP($B$4,_Lookups!$CB:$CG,4,FALSE())))),"")</f>
        <v/>
      </c>
      <c r="D33" s="86" t="str">
        <f ca="1">IFERROR(IF(VLOOKUP($B$4,_Lookups!$CB:$CG,5,FALSE())="","",INDIRECT("_Lookups!"&amp;ADDRESS(12+1,VLOOKUP($B$4,_Lookups!$CB:$CG,5,FALSE())))),"")</f>
        <v/>
      </c>
      <c r="E33" s="72" t="str">
        <f ca="1">IFERROR(IF(A30="","",IF(ISNUMBER(SEARCH("Soak",A30)),TEXT($B$11,"0.00")&amp;" kg",IF(ISNUMBER(SEARCH("Steam",A30)),TEXT($B$12,"0.00")&amp;" kg",IF(ISNUMBER(SEARCH("DRY DOWN",A30)),TEXT($B$13,"0.00")&amp;" kg",IF(ISNUMBER(SEARCH("Dekoji",A30)),TEXT($B$15,"0.00")&amp;" kg",""))))),"")</f>
        <v/>
      </c>
      <c r="F33" s="90" t="str">
        <f ca="1">IFERROR(IF(OR(A30="",$B$6=""),"",IF(LEFT(B30,1)="+",$B$6+VALUE(SUBSTITUTE(B30," h",""))/24,IF(LEFT(B30,1)="-",$B$6+VALUE(SUBSTITUTE(B30," h",""))/24,$B$6))),"")</f>
        <v/>
      </c>
      <c r="G33" s="90"/>
      <c r="H33" s="23"/>
      <c r="I33" s="23"/>
    </row>
    <row r="34" spans="1:9" ht="15" customHeight="1">
      <c r="A34" s="23"/>
      <c r="B34" s="23"/>
      <c r="C34" s="23"/>
      <c r="D34" s="23"/>
      <c r="E34" s="23"/>
      <c r="F34" s="23"/>
      <c r="G34" s="23"/>
      <c r="H34" s="23"/>
      <c r="I34" s="23"/>
    </row>
    <row r="35" spans="1:9" ht="15" customHeight="1">
      <c r="A35" s="221" t="s">
        <v>261</v>
      </c>
      <c r="B35" s="214"/>
      <c r="C35" s="214"/>
      <c r="D35" s="214"/>
      <c r="E35" s="214"/>
      <c r="F35" s="214"/>
      <c r="G35" s="214"/>
      <c r="H35" s="23"/>
      <c r="I35" s="23"/>
    </row>
    <row r="36" spans="1:9" ht="15" customHeight="1">
      <c r="A36" s="23" t="s">
        <v>99</v>
      </c>
      <c r="B36" s="69" t="s">
        <v>17</v>
      </c>
      <c r="C36" s="23"/>
      <c r="D36" s="23"/>
      <c r="E36" s="23"/>
      <c r="F36" s="23"/>
      <c r="G36" s="23"/>
      <c r="H36" s="23"/>
      <c r="I36" s="23"/>
    </row>
    <row r="37" spans="1:9" ht="15" customHeight="1">
      <c r="A37" s="23" t="s">
        <v>262</v>
      </c>
      <c r="B37" s="91"/>
      <c r="H37" s="23"/>
      <c r="I37" s="23"/>
    </row>
    <row r="38" spans="1:9" ht="15" customHeight="1">
      <c r="A38" s="23" t="s">
        <v>243</v>
      </c>
      <c r="B38" s="86" t="str">
        <f ca="1">IFERROR(IF(OR(B37="",ISBLANK(B37)),"",(NOW()-B37)*24),"")</f>
        <v/>
      </c>
      <c r="C38" s="23" t="s">
        <v>241</v>
      </c>
      <c r="D38" s="23"/>
      <c r="E38" s="23"/>
      <c r="F38" s="23"/>
      <c r="G38" s="23"/>
      <c r="H38" s="23"/>
      <c r="I38" s="23"/>
    </row>
    <row r="39" spans="1:9" ht="15" customHeight="1">
      <c r="A39" s="23"/>
      <c r="B39" s="23"/>
      <c r="C39" s="23"/>
      <c r="D39" s="23"/>
      <c r="E39" s="23"/>
      <c r="F39" s="23"/>
      <c r="G39" s="23"/>
      <c r="H39" s="23"/>
      <c r="I39" s="23"/>
    </row>
    <row r="40" spans="1:9" ht="15" customHeight="1">
      <c r="A40" s="221" t="s">
        <v>263</v>
      </c>
      <c r="B40" s="214"/>
      <c r="C40" s="214"/>
      <c r="D40" s="214"/>
      <c r="E40" s="214"/>
      <c r="F40" s="214"/>
      <c r="G40" s="214"/>
      <c r="I40" s="23"/>
    </row>
    <row r="41" spans="1:9" ht="15" customHeight="1">
      <c r="A41" s="23" t="s">
        <v>264</v>
      </c>
      <c r="B41" s="92">
        <f>IFERROR(_Allocations!B11,"")</f>
        <v>6.9300000000000006</v>
      </c>
      <c r="C41" s="23"/>
      <c r="D41" s="23"/>
      <c r="E41" s="23"/>
      <c r="F41" s="23"/>
      <c r="G41" s="23"/>
      <c r="H41" s="23"/>
      <c r="I41" s="23"/>
    </row>
    <row r="42" spans="1:9" ht="15" customHeight="1">
      <c r="A42" s="23" t="s">
        <v>265</v>
      </c>
      <c r="B42" s="92">
        <f>IFERROR(_Allocations!C11,"")</f>
        <v>2.2869000000000002</v>
      </c>
      <c r="C42" s="23"/>
      <c r="D42" s="23"/>
      <c r="E42" s="23"/>
      <c r="F42" s="23"/>
      <c r="G42" s="23"/>
      <c r="H42" s="23"/>
      <c r="I42" s="23"/>
    </row>
    <row r="43" spans="1:9" ht="15" customHeight="1">
      <c r="A43" s="23" t="s">
        <v>266</v>
      </c>
      <c r="B43" s="84">
        <f>IFERROR(_Allocations!D11,"")</f>
        <v>7.6230000000000011</v>
      </c>
      <c r="H43" s="23"/>
      <c r="I43" s="23"/>
    </row>
    <row r="44" spans="1:9" ht="15" customHeight="1">
      <c r="A44" s="23" t="s">
        <v>267</v>
      </c>
      <c r="B44" s="92">
        <f>IFERROR(_Allocations!B24,"")</f>
        <v>4.6431000000000004</v>
      </c>
      <c r="C44" s="23"/>
      <c r="D44" s="23"/>
      <c r="E44" s="23"/>
      <c r="F44" s="23"/>
      <c r="G44" s="23"/>
      <c r="H44" s="23"/>
      <c r="I44" s="23"/>
    </row>
    <row r="45" spans="1:9" ht="15" customHeight="1">
      <c r="A45" s="23"/>
      <c r="B45" s="23"/>
      <c r="C45" s="23"/>
      <c r="D45" s="23"/>
      <c r="E45" s="23"/>
      <c r="F45" s="23"/>
      <c r="G45" s="23"/>
      <c r="H45" s="23"/>
      <c r="I45" s="23"/>
    </row>
    <row r="46" spans="1:9" ht="15" customHeight="1">
      <c r="A46" s="221" t="s">
        <v>268</v>
      </c>
      <c r="B46" s="214"/>
      <c r="C46" s="214"/>
      <c r="D46" s="214"/>
      <c r="E46" s="214"/>
      <c r="F46" s="214"/>
      <c r="G46" s="214"/>
      <c r="I46" s="23"/>
    </row>
    <row r="47" spans="1:9" ht="15" customHeight="1">
      <c r="A47" s="93" t="s">
        <v>203</v>
      </c>
      <c r="B47" s="93" t="s">
        <v>257</v>
      </c>
      <c r="C47" s="93" t="s">
        <v>258</v>
      </c>
      <c r="D47" s="93" t="s">
        <v>176</v>
      </c>
      <c r="E47" s="93" t="s">
        <v>181</v>
      </c>
      <c r="F47" s="93" t="s">
        <v>269</v>
      </c>
      <c r="G47" s="93" t="s">
        <v>260</v>
      </c>
      <c r="H47" s="23"/>
      <c r="I47" s="23"/>
    </row>
    <row r="48" spans="1:9" ht="15" customHeight="1">
      <c r="A48" s="72" t="str">
        <f ca="1">IFERROR(IF(VLOOKUP($B$36,_Lookups!$DD:$DI,2,FALSE())="","",IF(OR(INDIRECT("_Lookups!"&amp;ADDRESS(1+1,VLOOKUP($B$36,_Lookups!$DD:$DI,2,FALSE())))="",INDIRECT("_Lookups!"&amp;ADDRESS(1+1,VLOOKUP($B$36,_Lookups!$DD:$DI,2,FALSE())))=0),"",INDIRECT("_Lookups!"&amp;ADDRESS(1+1,VLOOKUP($B$36,_Lookups!$DD:$DI,2,FALSE()))))),"")</f>
        <v/>
      </c>
      <c r="B48" s="88" t="str">
        <f ca="1">IFERROR(IF(A45="","",INDIRECT("_Lookups!"&amp;ADDRESS(1+1,VLOOKUP($B$36,_Lookups!$DD:$DI,3,FALSE())))),"")</f>
        <v/>
      </c>
      <c r="C48" s="88" t="str">
        <f ca="1">IFERROR(IF(A45="","",INDIRECT("_Lookups!"&amp;ADDRESS(1+1,VLOOKUP($B$36,_Lookups!$DD:$DI,4,FALSE())))),"")</f>
        <v/>
      </c>
      <c r="D48" s="86" t="str">
        <f ca="1">IFERROR(IF(A45="","",INDIRECT("_Lookups!"&amp;ADDRESS(1+1,VLOOKUP($B$36,_Lookups!$DD:$DI,5,FALSE())))),"")</f>
        <v/>
      </c>
      <c r="E48" s="72" t="str">
        <f ca="1">IFERROR(IF(A45="","",INDIRECT("_Lookups!"&amp;ADDRESS(1+1,VLOOKUP($B$36,_Lookups!$DD:$DI,6,FALSE())))),"")</f>
        <v/>
      </c>
      <c r="F48" s="94"/>
      <c r="G48" s="95" t="str">
        <f t="shared" ref="G48:G57" si="2">IFERROR(IF(OR(A45="",$B$37=""),"",IF(B45="Start",$B$37,IF(LEFT(B45,1)="+",$B$37+VALUE(SUBSTITUTE(SUBSTITUTE(B45,"+","")," hrs",""))/24,IF(LEFT(B45,3)="Day",$B$37+VALUE(MID(B45,5,10)),$B$37)))),"")</f>
        <v/>
      </c>
      <c r="H48" s="96"/>
      <c r="I48" s="23"/>
    </row>
    <row r="49" spans="1:9" ht="15" customHeight="1">
      <c r="A49" s="72" t="str">
        <f ca="1">IFERROR(IF(VLOOKUP($B$36,_Lookups!$DD:$DI,2,FALSE())="","",IF(OR(INDIRECT("_Lookups!"&amp;ADDRESS(1+2,VLOOKUP($B$36,_Lookups!$DD:$DI,2,FALSE())))="",INDIRECT("_Lookups!"&amp;ADDRESS(1+2,VLOOKUP($B$36,_Lookups!$DD:$DI,2,FALSE())))=0),"",INDIRECT("_Lookups!"&amp;ADDRESS(1+2,VLOOKUP($B$36,_Lookups!$DD:$DI,2,FALSE()))))),"")</f>
        <v/>
      </c>
      <c r="B49" s="88" t="str">
        <f ca="1">IFERROR(IF(A46="","",INDIRECT("_Lookups!"&amp;ADDRESS(1+2,VLOOKUP($B$36,_Lookups!$DD:$DI,3,FALSE())))),"")</f>
        <v/>
      </c>
      <c r="C49" s="88" t="str">
        <f ca="1">IFERROR(IF(A46="","",INDIRECT("_Lookups!"&amp;ADDRESS(1+2,VLOOKUP($B$36,_Lookups!$DD:$DI,4,FALSE())))),"")</f>
        <v/>
      </c>
      <c r="D49" s="86" t="str">
        <f ca="1">IFERROR(IF(A46="","",INDIRECT("_Lookups!"&amp;ADDRESS(1+2,VLOOKUP($B$36,_Lookups!$DD:$DI,5,FALSE())))),"")</f>
        <v/>
      </c>
      <c r="E49" s="72" t="str">
        <f ca="1">IFERROR(IF(A46="","",INDIRECT("_Lookups!"&amp;ADDRESS(1+2,VLOOKUP($B$36,_Lookups!$DD:$DI,6,FALSE())))),"")</f>
        <v/>
      </c>
      <c r="F49" s="94"/>
      <c r="G49" s="95" t="str">
        <f t="shared" si="2"/>
        <v/>
      </c>
      <c r="H49" s="96"/>
      <c r="I49" s="23"/>
    </row>
    <row r="50" spans="1:9" ht="15" customHeight="1">
      <c r="A50" s="72" t="str">
        <f ca="1">IFERROR(IF(VLOOKUP($B$36,_Lookups!$DD:$DI,2,FALSE())="","",IF(OR(INDIRECT("_Lookups!"&amp;ADDRESS(1+3,VLOOKUP($B$36,_Lookups!$DD:$DI,2,FALSE())))="",INDIRECT("_Lookups!"&amp;ADDRESS(1+3,VLOOKUP($B$36,_Lookups!$DD:$DI,2,FALSE())))=0),"",INDIRECT("_Lookups!"&amp;ADDRESS(1+3,VLOOKUP($B$36,_Lookups!$DD:$DI,2,FALSE()))))),"")</f>
        <v/>
      </c>
      <c r="B50" s="88" t="str">
        <f ca="1">IFERROR(IF(A47="","",INDIRECT("_Lookups!"&amp;ADDRESS(1+3,VLOOKUP($B$36,_Lookups!$DD:$DI,3,FALSE())))),"")</f>
        <v/>
      </c>
      <c r="C50" s="88" t="str">
        <f ca="1">IFERROR(IF(A47="","",INDIRECT("_Lookups!"&amp;ADDRESS(1+3,VLOOKUP($B$36,_Lookups!$DD:$DI,4,FALSE())))),"")</f>
        <v/>
      </c>
      <c r="D50" s="86" t="str">
        <f ca="1">IFERROR(IF(A47="","",INDIRECT("_Lookups!"&amp;ADDRESS(1+3,VLOOKUP($B$36,_Lookups!$DD:$DI,5,FALSE())))),"")</f>
        <v/>
      </c>
      <c r="E50" s="72" t="str">
        <f ca="1">IFERROR(IF(A47="","",INDIRECT("_Lookups!"&amp;ADDRESS(1+3,VLOOKUP($B$36,_Lookups!$DD:$DI,6,FALSE())))),"")</f>
        <v/>
      </c>
      <c r="F50" s="94"/>
      <c r="G50" s="95" t="str">
        <f t="shared" si="2"/>
        <v/>
      </c>
      <c r="H50" s="96"/>
      <c r="I50" s="23"/>
    </row>
    <row r="51" spans="1:9" ht="15" customHeight="1">
      <c r="A51" s="72" t="str">
        <f ca="1">IFERROR(IF(VLOOKUP($B$36,_Lookups!$DD:$DI,2,FALSE())="","",IF(OR(INDIRECT("_Lookups!"&amp;ADDRESS(1+4,VLOOKUP($B$36,_Lookups!$DD:$DI,2,FALSE())))="",INDIRECT("_Lookups!"&amp;ADDRESS(1+4,VLOOKUP($B$36,_Lookups!$DD:$DI,2,FALSE())))=0),"",INDIRECT("_Lookups!"&amp;ADDRESS(1+4,VLOOKUP($B$36,_Lookups!$DD:$DI,2,FALSE()))))),"")</f>
        <v/>
      </c>
      <c r="B51" s="88" t="str">
        <f ca="1">IFERROR(IF(A48="","",INDIRECT("_Lookups!"&amp;ADDRESS(1+4,VLOOKUP($B$36,_Lookups!$DD:$DI,3,FALSE())))),"")</f>
        <v/>
      </c>
      <c r="C51" s="88" t="str">
        <f ca="1">IFERROR(IF(A48="","",INDIRECT("_Lookups!"&amp;ADDRESS(1+4,VLOOKUP($B$36,_Lookups!$DD:$DI,4,FALSE())))),"")</f>
        <v/>
      </c>
      <c r="D51" s="86" t="str">
        <f ca="1">IFERROR(IF(A48="","",INDIRECT("_Lookups!"&amp;ADDRESS(1+4,VLOOKUP($B$36,_Lookups!$DD:$DI,5,FALSE())))),"")</f>
        <v/>
      </c>
      <c r="E51" s="72" t="str">
        <f ca="1">IFERROR(IF(A48="","",INDIRECT("_Lookups!"&amp;ADDRESS(1+4,VLOOKUP($B$36,_Lookups!$DD:$DI,6,FALSE())))),"")</f>
        <v/>
      </c>
      <c r="F51" s="94"/>
      <c r="G51" s="95" t="str">
        <f t="shared" ca="1" si="2"/>
        <v/>
      </c>
      <c r="H51" s="96"/>
      <c r="I51" s="23"/>
    </row>
    <row r="52" spans="1:9" ht="15" customHeight="1">
      <c r="A52" s="72" t="str">
        <f ca="1">IFERROR(IF(VLOOKUP($B$36,_Lookups!$DD:$DI,2,FALSE())="","",IF(OR(INDIRECT("_Lookups!"&amp;ADDRESS(1+5,VLOOKUP($B$36,_Lookups!$DD:$DI,2,FALSE())))="",INDIRECT("_Lookups!"&amp;ADDRESS(1+5,VLOOKUP($B$36,_Lookups!$DD:$DI,2,FALSE())))=0),"",INDIRECT("_Lookups!"&amp;ADDRESS(1+5,VLOOKUP($B$36,_Lookups!$DD:$DI,2,FALSE()))))),"")</f>
        <v/>
      </c>
      <c r="B52" s="88" t="str">
        <f ca="1">IFERROR(IF(A49="","",INDIRECT("_Lookups!"&amp;ADDRESS(1+5,VLOOKUP($B$36,_Lookups!$DD:$DI,3,FALSE())))),"")</f>
        <v/>
      </c>
      <c r="C52" s="88" t="str">
        <f ca="1">IFERROR(IF(A49="","",INDIRECT("_Lookups!"&amp;ADDRESS(1+5,VLOOKUP($B$36,_Lookups!$DD:$DI,4,FALSE())))),"")</f>
        <v/>
      </c>
      <c r="D52" s="86" t="str">
        <f ca="1">IFERROR(IF(A49="","",INDIRECT("_Lookups!"&amp;ADDRESS(1+5,VLOOKUP($B$36,_Lookups!$DD:$DI,5,FALSE())))),"")</f>
        <v/>
      </c>
      <c r="E52" s="72" t="str">
        <f ca="1">IFERROR(IF(A49="","",INDIRECT("_Lookups!"&amp;ADDRESS(1+5,VLOOKUP($B$36,_Lookups!$DD:$DI,6,FALSE())))),"")</f>
        <v/>
      </c>
      <c r="F52" s="94"/>
      <c r="G52" s="95" t="str">
        <f t="shared" ca="1" si="2"/>
        <v/>
      </c>
      <c r="H52" s="96"/>
      <c r="I52" s="23"/>
    </row>
    <row r="53" spans="1:9" ht="15" customHeight="1">
      <c r="A53" s="72" t="str">
        <f ca="1">IFERROR(IF(VLOOKUP($B$36,_Lookups!$DD:$DI,2,FALSE())="","",IF(OR(INDIRECT("_Lookups!"&amp;ADDRESS(1+6,VLOOKUP($B$36,_Lookups!$DD:$DI,2,FALSE())))="",INDIRECT("_Lookups!"&amp;ADDRESS(1+6,VLOOKUP($B$36,_Lookups!$DD:$DI,2,FALSE())))=0),"",INDIRECT("_Lookups!"&amp;ADDRESS(1+6,VLOOKUP($B$36,_Lookups!$DD:$DI,2,FALSE()))))),"")</f>
        <v/>
      </c>
      <c r="B53" s="88" t="str">
        <f ca="1">IFERROR(IF(A50="","",INDIRECT("_Lookups!"&amp;ADDRESS(1+6,VLOOKUP($B$36,_Lookups!$DD:$DI,3,FALSE())))),"")</f>
        <v/>
      </c>
      <c r="C53" s="88" t="str">
        <f ca="1">IFERROR(IF(A50="","",INDIRECT("_Lookups!"&amp;ADDRESS(1+6,VLOOKUP($B$36,_Lookups!$DD:$DI,4,FALSE())))),"")</f>
        <v/>
      </c>
      <c r="D53" s="86" t="str">
        <f ca="1">IFERROR(IF(A50="","",INDIRECT("_Lookups!"&amp;ADDRESS(1+6,VLOOKUP($B$36,_Lookups!$DD:$DI,5,FALSE())))),"")</f>
        <v/>
      </c>
      <c r="E53" s="72" t="str">
        <f ca="1">IFERROR(IF(A50="","",INDIRECT("_Lookups!"&amp;ADDRESS(1+6,VLOOKUP($B$36,_Lookups!$DD:$DI,6,FALSE())))),"")</f>
        <v/>
      </c>
      <c r="F53" s="94"/>
      <c r="G53" s="95" t="str">
        <f t="shared" ca="1" si="2"/>
        <v/>
      </c>
      <c r="H53" s="96"/>
      <c r="I53" s="23"/>
    </row>
    <row r="54" spans="1:9" ht="15" customHeight="1">
      <c r="A54" s="72" t="str">
        <f ca="1">IFERROR(IF(VLOOKUP($B$36,_Lookups!$DD:$DI,2,FALSE())="","",IF(OR(INDIRECT("_Lookups!"&amp;ADDRESS(1+7,VLOOKUP($B$36,_Lookups!$DD:$DI,2,FALSE())))="",INDIRECT("_Lookups!"&amp;ADDRESS(1+7,VLOOKUP($B$36,_Lookups!$DD:$DI,2,FALSE())))=0),"",INDIRECT("_Lookups!"&amp;ADDRESS(1+7,VLOOKUP($B$36,_Lookups!$DD:$DI,2,FALSE()))))),"")</f>
        <v/>
      </c>
      <c r="B54" s="88" t="str">
        <f ca="1">IFERROR(IF(A51="","",INDIRECT("_Lookups!"&amp;ADDRESS(1+7,VLOOKUP($B$36,_Lookups!$DD:$DI,3,FALSE())))),"")</f>
        <v/>
      </c>
      <c r="C54" s="88" t="str">
        <f ca="1">IFERROR(IF(A51="","",INDIRECT("_Lookups!"&amp;ADDRESS(1+7,VLOOKUP($B$36,_Lookups!$DD:$DI,4,FALSE())))),"")</f>
        <v/>
      </c>
      <c r="D54" s="86" t="str">
        <f ca="1">IFERROR(IF(A51="","",INDIRECT("_Lookups!"&amp;ADDRESS(1+7,VLOOKUP($B$36,_Lookups!$DD:$DI,5,FALSE())))),"")</f>
        <v/>
      </c>
      <c r="E54" s="72" t="str">
        <f ca="1">IFERROR(IF(A51="","",INDIRECT("_Lookups!"&amp;ADDRESS(1+7,VLOOKUP($B$36,_Lookups!$DD:$DI,6,FALSE())))),"")</f>
        <v/>
      </c>
      <c r="F54" s="94"/>
      <c r="G54" s="95" t="str">
        <f t="shared" ca="1" si="2"/>
        <v/>
      </c>
      <c r="H54" s="96"/>
      <c r="I54" s="23"/>
    </row>
    <row r="55" spans="1:9" ht="15" customHeight="1">
      <c r="A55" s="97" t="str">
        <f ca="1">IFERROR(IF(VLOOKUP($B$36,_Lookups!$DD:$DI,2,FALSE())="","",IF(OR(INDIRECT("_Lookups!"&amp;ADDRESS(1+8,VLOOKUP($B$36,_Lookups!$DD:$DI,2,FALSE())))="",INDIRECT("_Lookups!"&amp;ADDRESS(1+8,VLOOKUP($B$36,_Lookups!$DD:$DI,2,FALSE())))=0),"",INDIRECT("_Lookups!"&amp;ADDRESS(1+8,VLOOKUP($B$36,_Lookups!$DD:$DI,2,FALSE()))))),"")</f>
        <v/>
      </c>
      <c r="B55" s="88" t="str">
        <f ca="1">IFERROR(IF(A52="","",INDIRECT("_Lookups!"&amp;ADDRESS(1+8,VLOOKUP($B$36,_Lookups!$DD:$DI,3,FALSE())))),"")</f>
        <v/>
      </c>
      <c r="C55" s="88" t="str">
        <f ca="1">IFERROR(IF(A52="","",INDIRECT("_Lookups!"&amp;ADDRESS(1+8,VLOOKUP($B$36,_Lookups!$DD:$DI,4,FALSE())))),"")</f>
        <v/>
      </c>
      <c r="D55" s="86" t="str">
        <f ca="1">IFERROR(IF(A52="","",INDIRECT("_Lookups!"&amp;ADDRESS(1+8,VLOOKUP($B$36,_Lookups!$DD:$DI,5,FALSE())))),"")</f>
        <v/>
      </c>
      <c r="E55" s="72" t="str">
        <f ca="1">IFERROR(IF(A52="","",INDIRECT("_Lookups!"&amp;ADDRESS(1+8,VLOOKUP($B$36,_Lookups!$DD:$DI,6,FALSE())))),"")</f>
        <v/>
      </c>
      <c r="F55" s="94"/>
      <c r="G55" s="95" t="str">
        <f t="shared" ca="1" si="2"/>
        <v/>
      </c>
      <c r="H55" s="96"/>
      <c r="I55" s="23"/>
    </row>
    <row r="56" spans="1:9" ht="15" customHeight="1">
      <c r="A56" s="72" t="str">
        <f ca="1">IFERROR(IF(VLOOKUP($B$36,_Lookups!$DD:$DI,2,FALSE())="","",IF(OR(INDIRECT("_Lookups!"&amp;ADDRESS(1+9,VLOOKUP($B$36,_Lookups!$DD:$DI,2,FALSE())))="",INDIRECT("_Lookups!"&amp;ADDRESS(1+9,VLOOKUP($B$36,_Lookups!$DD:$DI,2,FALSE())))=0),"",INDIRECT("_Lookups!"&amp;ADDRESS(1+9,VLOOKUP($B$36,_Lookups!$DD:$DI,2,FALSE()))))),"")</f>
        <v/>
      </c>
      <c r="B56" s="88" t="str">
        <f ca="1">IFERROR(IF(A53="","",INDIRECT("_Lookups!"&amp;ADDRESS(1+9,VLOOKUP($B$36,_Lookups!$DD:$DI,3,FALSE())))),"")</f>
        <v/>
      </c>
      <c r="C56" s="88" t="str">
        <f ca="1">IFERROR(IF(A53="","",INDIRECT("_Lookups!"&amp;ADDRESS(1+9,VLOOKUP($B$36,_Lookups!$DD:$DI,4,FALSE())))),"")</f>
        <v/>
      </c>
      <c r="D56" s="86" t="str">
        <f ca="1">IFERROR(IF(A53="","",INDIRECT("_Lookups!"&amp;ADDRESS(1+9,VLOOKUP($B$36,_Lookups!$DD:$DI,5,FALSE())))),"")</f>
        <v/>
      </c>
      <c r="E56" s="72" t="str">
        <f ca="1">IFERROR(IF(A53="","",INDIRECT("_Lookups!"&amp;ADDRESS(1+9,VLOOKUP($B$36,_Lookups!$DD:$DI,6,FALSE())))),"")</f>
        <v/>
      </c>
      <c r="F56" s="94"/>
      <c r="G56" s="95" t="str">
        <f t="shared" ca="1" si="2"/>
        <v/>
      </c>
      <c r="H56" s="96"/>
      <c r="I56" s="23"/>
    </row>
    <row r="57" spans="1:9" ht="15" customHeight="1">
      <c r="A57" s="72" t="str">
        <f ca="1">IFERROR(IF(VLOOKUP($B$36,_Lookups!$DD:$DI,2,FALSE())="","",IF(OR(INDIRECT("_Lookups!"&amp;ADDRESS(1+10,VLOOKUP($B$36,_Lookups!$DD:$DI,2,FALSE())))="",INDIRECT("_Lookups!"&amp;ADDRESS(1+10,VLOOKUP($B$36,_Lookups!$DD:$DI,2,FALSE())))=0),"",INDIRECT("_Lookups!"&amp;ADDRESS(1+10,VLOOKUP($B$36,_Lookups!$DD:$DI,2,FALSE()))))),"")</f>
        <v/>
      </c>
      <c r="B57" s="88" t="str">
        <f ca="1">IFERROR(IF(A54="","",INDIRECT("_Lookups!"&amp;ADDRESS(1+10,VLOOKUP($B$36,_Lookups!$DD:$DI,3,FALSE())))),"")</f>
        <v/>
      </c>
      <c r="C57" s="88" t="str">
        <f ca="1">IFERROR(IF(A54="","",INDIRECT("_Lookups!"&amp;ADDRESS(1+10,VLOOKUP($B$36,_Lookups!$DD:$DI,4,FALSE())))),"")</f>
        <v/>
      </c>
      <c r="D57" s="86" t="str">
        <f ca="1">IFERROR(IF(A54="","",INDIRECT("_Lookups!"&amp;ADDRESS(1+10,VLOOKUP($B$36,_Lookups!$DD:$DI,5,FALSE())))),"")</f>
        <v/>
      </c>
      <c r="E57" s="72" t="str">
        <f ca="1">IFERROR(IF(A54="","",INDIRECT("_Lookups!"&amp;ADDRESS(1+10,VLOOKUP($B$36,_Lookups!$DD:$DI,6,FALSE())))),"")</f>
        <v/>
      </c>
      <c r="F57" s="94"/>
      <c r="G57" s="95" t="str">
        <f t="shared" ca="1" si="2"/>
        <v/>
      </c>
      <c r="H57" s="96"/>
      <c r="I57" s="23"/>
    </row>
    <row r="58" spans="1:9" ht="15" customHeight="1">
      <c r="A58" s="223" t="str">
        <f ca="1">IFERROR(IF(VLOOKUP($B$36,_Lookups!$DD:$DI,2,FALSE())="","",IF(OR(INDIRECT("_Lookups!"&amp;ADDRESS(1+11,VLOOKUP($B$36,_Lookups!$DD:$DI,2,FALSE())))="",INDIRECT("_Lookups!"&amp;ADDRESS(1+11,VLOOKUP($B$36,_Lookups!$DD:$DI,2,FALSE())))=0),"",INDIRECT("_Lookups!"&amp;ADDRESS(1+11,VLOOKUP($B$36,_Lookups!$DD:$DI,2,FALSE()))))),"")</f>
        <v/>
      </c>
      <c r="B58" s="214"/>
      <c r="C58" s="214"/>
      <c r="D58" s="214"/>
      <c r="E58" s="214"/>
      <c r="F58" s="214"/>
      <c r="G58" s="214"/>
      <c r="H58" s="96"/>
      <c r="I58" s="23"/>
    </row>
    <row r="59" spans="1:9" ht="15" customHeight="1">
      <c r="A59" s="97" t="str">
        <f ca="1">IFERROR(IF(VLOOKUP($B$36,_Lookups!$DD:$DI,2,FALSE())="","",IF(OR(INDIRECT("_Lookups!"&amp;ADDRESS(1+12,VLOOKUP($B$36,_Lookups!$DD:$DI,2,FALSE())))="",INDIRECT("_Lookups!"&amp;ADDRESS(1+12,VLOOKUP($B$36,_Lookups!$DD:$DI,2,FALSE())))=0),"",INDIRECT("_Lookups!"&amp;ADDRESS(1+12,VLOOKUP($B$36,_Lookups!$DD:$DI,2,FALSE()))))),"")</f>
        <v/>
      </c>
      <c r="B59" s="88" t="str">
        <f ca="1">IFERROR(IF(A56="","",INDIRECT("_Lookups!"&amp;ADDRESS(1+12,VLOOKUP($B$36,_Lookups!$DD:$DI,3,FALSE())))),"")</f>
        <v/>
      </c>
      <c r="C59" s="88" t="str">
        <f ca="1">IFERROR(IF(A56="","",INDIRECT("_Lookups!"&amp;ADDRESS(1+12,VLOOKUP($B$36,_Lookups!$DD:$DI,4,FALSE())))),"")</f>
        <v/>
      </c>
      <c r="D59" s="86" t="str">
        <f ca="1">IFERROR(IF(A56="","",INDIRECT("_Lookups!"&amp;ADDRESS(1+12,VLOOKUP($B$36,_Lookups!$DD:$DI,5,FALSE())))),"")</f>
        <v/>
      </c>
      <c r="E59" s="72" t="str">
        <f ca="1">IFERROR(IF(A56="","",INDIRECT("_Lookups!"&amp;ADDRESS(1+12,VLOOKUP($B$36,_Lookups!$DD:$DI,6,FALSE())))),"")</f>
        <v/>
      </c>
      <c r="F59" s="94"/>
      <c r="G59" s="95" t="str">
        <f ca="1">IFERROR(IF(OR(A56="",$B$37=""),"",IF(B56="Start",$B$37,IF(LEFT(B56,1)="+",$B$37+VALUE(SUBSTITUTE(SUBSTITUTE(B56,"+","")," hrs",""))/24,IF(LEFT(B56,3)="Day",$B$37+VALUE(MID(B56,5,10)),$B$37)))),"")</f>
        <v/>
      </c>
      <c r="H59" s="96"/>
      <c r="I59" s="23"/>
    </row>
    <row r="60" spans="1:9" ht="15" customHeight="1">
      <c r="A60" s="24"/>
      <c r="B60" s="24"/>
      <c r="C60" s="24"/>
      <c r="D60" s="24"/>
      <c r="E60" s="24"/>
      <c r="F60" s="24"/>
      <c r="G60" s="23"/>
      <c r="H60" s="23"/>
      <c r="I60" s="23"/>
    </row>
    <row r="61" spans="1:9" ht="15" customHeight="1">
      <c r="A61" s="221" t="s">
        <v>270</v>
      </c>
      <c r="B61" s="214"/>
      <c r="C61" s="214"/>
      <c r="D61" s="214"/>
      <c r="E61" s="214"/>
      <c r="F61" s="214"/>
      <c r="G61" s="214"/>
      <c r="H61" s="23"/>
      <c r="I61" s="23"/>
    </row>
    <row r="62" spans="1:9" ht="15" customHeight="1">
      <c r="A62" s="23" t="s">
        <v>271</v>
      </c>
      <c r="B62" s="69" t="s">
        <v>17</v>
      </c>
      <c r="C62" s="98"/>
      <c r="D62" s="98"/>
      <c r="E62" s="98"/>
      <c r="F62" s="99"/>
      <c r="G62" s="23"/>
      <c r="H62" s="23"/>
      <c r="I62" s="23"/>
    </row>
    <row r="63" spans="1:9" ht="15" customHeight="1">
      <c r="A63" s="23" t="s">
        <v>272</v>
      </c>
      <c r="B63" s="91"/>
      <c r="H63" s="23"/>
      <c r="I63" s="23"/>
    </row>
    <row r="64" spans="1:9" ht="15" customHeight="1">
      <c r="A64" s="23" t="s">
        <v>273</v>
      </c>
      <c r="B64" s="72" t="str">
        <f ca="1">IFERROR(IF(OR(B63="",ISBLANK(B63)),"",ROUND((NOW()-B63),0)),"")</f>
        <v/>
      </c>
      <c r="C64" s="98"/>
      <c r="D64" s="98"/>
      <c r="E64" s="98"/>
      <c r="F64" s="99"/>
      <c r="G64" s="23"/>
      <c r="H64" s="23"/>
      <c r="I64" s="23"/>
    </row>
    <row r="65" spans="1:9" ht="15" customHeight="1">
      <c r="A65" s="23"/>
      <c r="B65" s="23"/>
      <c r="C65" s="98"/>
      <c r="D65" s="98"/>
      <c r="E65" s="98"/>
      <c r="F65" s="99"/>
      <c r="G65" s="23"/>
      <c r="H65" s="23"/>
      <c r="I65" s="23"/>
    </row>
    <row r="66" spans="1:9" ht="15" customHeight="1">
      <c r="A66" s="221" t="s">
        <v>274</v>
      </c>
      <c r="B66" s="214"/>
      <c r="C66" s="214"/>
      <c r="D66" s="214"/>
      <c r="E66" s="214"/>
      <c r="F66" s="214"/>
      <c r="G66" s="214"/>
      <c r="H66" s="23"/>
      <c r="I66" s="23"/>
    </row>
    <row r="67" spans="1:9" ht="15" customHeight="1">
      <c r="A67" s="93" t="s">
        <v>275</v>
      </c>
      <c r="B67" s="100" t="s">
        <v>276</v>
      </c>
      <c r="C67" s="100" t="s">
        <v>277</v>
      </c>
      <c r="D67" s="101" t="s">
        <v>278</v>
      </c>
      <c r="E67" s="93" t="s">
        <v>279</v>
      </c>
      <c r="F67" s="93" t="s">
        <v>280</v>
      </c>
      <c r="G67" s="93"/>
      <c r="H67" s="23"/>
      <c r="I67" s="23"/>
    </row>
    <row r="68" spans="1:9" ht="15" customHeight="1">
      <c r="A68" t="s">
        <v>119</v>
      </c>
      <c r="B68" s="102">
        <v>0</v>
      </c>
      <c r="C68" s="102">
        <f>IFERROR(_Allocations!B12,"")</f>
        <v>13.810499999999999</v>
      </c>
      <c r="D68" s="103">
        <f>IFERROR(_Allocations!C12,"")</f>
        <v>5.4580680000000008</v>
      </c>
      <c r="E68" s="84">
        <f>IFERROR(_Allocations!D12,"")</f>
        <v>13.119974999999998</v>
      </c>
      <c r="F68" s="89" t="str">
        <f>IFERROR(IF(B63="","",B63+0),"")</f>
        <v/>
      </c>
      <c r="G68" s="84"/>
      <c r="H68" s="104"/>
    </row>
    <row r="69" spans="1:9" ht="15" customHeight="1">
      <c r="A69" t="s">
        <v>281</v>
      </c>
      <c r="B69" s="102">
        <v>1</v>
      </c>
      <c r="C69" s="102" t="s">
        <v>282</v>
      </c>
      <c r="D69" s="103" t="s">
        <v>282</v>
      </c>
      <c r="E69" s="84" t="s">
        <v>282</v>
      </c>
      <c r="F69" s="89" t="str">
        <f>IFERROR(IF(B63="","",B63+1),"")</f>
        <v/>
      </c>
      <c r="G69" s="105"/>
      <c r="H69" s="104"/>
    </row>
    <row r="70" spans="1:9" ht="15" customHeight="1">
      <c r="A70" t="s">
        <v>120</v>
      </c>
      <c r="B70" s="102">
        <v>2</v>
      </c>
      <c r="C70" s="102">
        <f>IFERROR(_Allocations!B13,"")</f>
        <v>32.224499999999999</v>
      </c>
      <c r="D70" s="103">
        <f>IFERROR(_Allocations!C13,"")</f>
        <v>4.2884820000000001</v>
      </c>
      <c r="E70" s="84">
        <f>IFERROR(_Allocations!D13,"")</f>
        <v>40.280625000000001</v>
      </c>
      <c r="F70" s="89" t="str">
        <f>IFERROR(IF(B63="","",B63+2),"")</f>
        <v/>
      </c>
      <c r="G70" s="105"/>
      <c r="H70" s="104"/>
    </row>
    <row r="71" spans="1:9" ht="15" customHeight="1">
      <c r="A71" t="s">
        <v>121</v>
      </c>
      <c r="B71" s="102">
        <v>3</v>
      </c>
      <c r="C71" s="84">
        <f>IFERROR(_Allocations!B14,"")</f>
        <v>46.034999999999997</v>
      </c>
      <c r="D71" s="84">
        <f>IFERROR(_Allocations!C14,"")</f>
        <v>3.5087580000000003</v>
      </c>
      <c r="E71" s="84">
        <f>IFERROR(_Allocations!D14,"")</f>
        <v>66.750749999999996</v>
      </c>
      <c r="F71" s="89" t="str">
        <f>IFERROR(IF(B63="","",B63+3),"")</f>
        <v/>
      </c>
      <c r="G71" s="84"/>
      <c r="H71" s="104"/>
    </row>
    <row r="72" spans="1:9" ht="15" customHeight="1">
      <c r="A72" t="s">
        <v>122</v>
      </c>
      <c r="B72" s="102">
        <v>9</v>
      </c>
      <c r="C72" s="102">
        <f>IFERROR(_Allocations!B15,"")</f>
        <v>0</v>
      </c>
      <c r="D72" s="103">
        <f>IFERROR(_Allocations!C15,"")</f>
        <v>0</v>
      </c>
      <c r="E72" s="84">
        <f>IFERROR(_Allocations!D15,"")</f>
        <v>0</v>
      </c>
      <c r="F72" s="89" t="str">
        <f>IFERROR(IF(B63="","",B63+9),"")</f>
        <v/>
      </c>
      <c r="G72" s="105"/>
      <c r="H72" s="104"/>
    </row>
    <row r="73" spans="1:9" ht="15" customHeight="1">
      <c r="B73" s="106"/>
      <c r="C73" s="106"/>
      <c r="D73" s="107"/>
      <c r="F73" s="108"/>
      <c r="G73" s="109"/>
    </row>
    <row r="74" spans="1:9" ht="15" customHeight="1">
      <c r="A74" s="221" t="s">
        <v>283</v>
      </c>
      <c r="B74" s="214"/>
      <c r="C74" s="214"/>
      <c r="D74" s="214"/>
      <c r="E74" s="214"/>
      <c r="F74" s="214"/>
      <c r="G74" s="214"/>
    </row>
    <row r="75" spans="1:9" ht="15" customHeight="1">
      <c r="A75" s="110" t="s">
        <v>203</v>
      </c>
      <c r="B75" s="111" t="s">
        <v>257</v>
      </c>
      <c r="C75" s="111" t="s">
        <v>258</v>
      </c>
      <c r="D75" s="112" t="s">
        <v>284</v>
      </c>
      <c r="E75" s="110" t="s">
        <v>181</v>
      </c>
      <c r="F75" s="113" t="s">
        <v>260</v>
      </c>
      <c r="G75" s="114"/>
      <c r="H75" s="115"/>
    </row>
    <row r="76" spans="1:9" ht="15" customHeight="1">
      <c r="A76" s="29" t="str">
        <f ca="1">IFERROR(IF(VLOOKUP($B$62,_Lookups!$EA:$EF,2,FALSE())="","",IF(OR(INDIRECT("_Lookups!"&amp;ADDRESS(1+1,VLOOKUP($B$62,_Lookups!$EA:$EF,2,FALSE())))="",INDIRECT("_Lookups!"&amp;ADDRESS(1+1,VLOOKUP($B$62,_Lookups!$EA:$EF,2,FALSE())))=0),"",INDIRECT("_Lookups!"&amp;ADDRESS(1+1,VLOOKUP($B$62,_Lookups!$EA:$EF,2,FALSE()))))),"")</f>
        <v/>
      </c>
      <c r="B76" s="116" t="str">
        <f ca="1">IFERROR(IF(A76="","",INDIRECT("_Lookups!"&amp;ADDRESS(1+1,VLOOKUP($B$62,_Lookups!$EA:$EF,3,FALSE())))),"")</f>
        <v/>
      </c>
      <c r="C76" s="116" t="str">
        <f ca="1">IFERROR(IF(A73="","",INDIRECT("_Lookups!"&amp;ADDRESS(1+1,VLOOKUP($B$62,_Lookups!$EA:$EF,4,FALSE())))),"")</f>
        <v/>
      </c>
      <c r="D76" s="117" t="str">
        <f ca="1">IFERROR(IF(A73="","",INDIRECT("_Lookups!"&amp;ADDRESS(1+1,VLOOKUP($B$62,_Lookups!$EA:$EF,5,FALSE())))),"")</f>
        <v/>
      </c>
      <c r="E76" s="29" t="str">
        <f ca="1">IFERROR(IF(A73="","",INDIRECT("_Lookups!"&amp;ADDRESS(1+1,VLOOKUP($B$62,_Lookups!$EA:$EF,6,FALSE())))),"")</f>
        <v/>
      </c>
      <c r="F76" s="118" t="str">
        <f t="shared" ref="F76:F88" ca="1" si="3">IFERROR(IF(OR(A76="",$B$63=""),"",IF(LEFT(B76,3)="Day",$B$63+VALUE(MID(B76,5,2)),$B$63)),"")</f>
        <v/>
      </c>
      <c r="G76" s="109"/>
    </row>
    <row r="77" spans="1:9" ht="15" customHeight="1">
      <c r="A77" s="29" t="str">
        <f ca="1">IFERROR(IF(VLOOKUP($B$62,_Lookups!$EA:$EF,2,FALSE())="","",IF(OR(INDIRECT("_Lookups!"&amp;ADDRESS(1+2,VLOOKUP($B$62,_Lookups!$EA:$EF,2,FALSE())))="",INDIRECT("_Lookups!"&amp;ADDRESS(1+2,VLOOKUP($B$62,_Lookups!$EA:$EF,2,FALSE())))=0),"",INDIRECT("_Lookups!"&amp;ADDRESS(1+2,VLOOKUP($B$62,_Lookups!$EA:$EF,2,FALSE()))))),"")</f>
        <v/>
      </c>
      <c r="B77" s="116" t="str">
        <f ca="1">IFERROR(IF(A77="","",INDIRECT("_Lookups!"&amp;ADDRESS(1+2,VLOOKUP($B$62,_Lookups!$EA:$EF,3,FALSE())))),"")</f>
        <v/>
      </c>
      <c r="C77" s="116" t="str">
        <f ca="1">IFERROR(IF(A74="","",INDIRECT("_Lookups!"&amp;ADDRESS(1+2,VLOOKUP($B$62,_Lookups!$EA:$EF,4,FALSE())))),"")</f>
        <v/>
      </c>
      <c r="D77" s="117" t="str">
        <f ca="1">IFERROR(IF(A74="","",INDIRECT("_Lookups!"&amp;ADDRESS(1+2,VLOOKUP($B$62,_Lookups!$EA:$EF,5,FALSE())))),"")</f>
        <v/>
      </c>
      <c r="E77" s="29" t="str">
        <f ca="1">IFERROR(IF(A74="","",INDIRECT("_Lookups!"&amp;ADDRESS(1+2,VLOOKUP($B$62,_Lookups!$EA:$EF,6,FALSE())))),"")</f>
        <v/>
      </c>
      <c r="F77" s="118" t="str">
        <f t="shared" ca="1" si="3"/>
        <v/>
      </c>
      <c r="G77" s="119"/>
    </row>
    <row r="78" spans="1:9" ht="15" customHeight="1">
      <c r="A78" s="29" t="str">
        <f ca="1">IFERROR(IF(VLOOKUP($B$62,_Lookups!$EA:$EF,2,FALSE())="","",IF(OR(INDIRECT("_Lookups!"&amp;ADDRESS(1+3,VLOOKUP($B$62,_Lookups!$EA:$EF,2,FALSE())))="",INDIRECT("_Lookups!"&amp;ADDRESS(1+3,VLOOKUP($B$62,_Lookups!$EA:$EF,2,FALSE())))=0),"",INDIRECT("_Lookups!"&amp;ADDRESS(1+3,VLOOKUP($B$62,_Lookups!$EA:$EF,2,FALSE()))))),"")</f>
        <v/>
      </c>
      <c r="B78" s="116" t="str">
        <f ca="1">IFERROR(IF(A78="","",INDIRECT("_Lookups!"&amp;ADDRESS(1+3,VLOOKUP($B$62,_Lookups!$EA:$EF,3,FALSE())))),"")</f>
        <v/>
      </c>
      <c r="C78" s="116" t="str">
        <f ca="1">IFERROR(IF(A75="","",INDIRECT("_Lookups!"&amp;ADDRESS(1+3,VLOOKUP($B$62,_Lookups!$EA:$EF,4,FALSE())))),"")</f>
        <v/>
      </c>
      <c r="D78" s="117" t="str">
        <f ca="1">IFERROR(IF(A75="","",INDIRECT("_Lookups!"&amp;ADDRESS(1+3,VLOOKUP($B$62,_Lookups!$EA:$EF,5,FALSE())))),"")</f>
        <v/>
      </c>
      <c r="E78" s="29" t="str">
        <f ca="1">IFERROR(IF(A75="","",INDIRECT("_Lookups!"&amp;ADDRESS(1+3,VLOOKUP($B$62,_Lookups!$EA:$EF,6,FALSE())))),"")</f>
        <v/>
      </c>
      <c r="F78" s="118" t="str">
        <f t="shared" ca="1" si="3"/>
        <v/>
      </c>
      <c r="G78" s="119"/>
    </row>
    <row r="79" spans="1:9" ht="15" customHeight="1">
      <c r="A79" s="29" t="str">
        <f ca="1">IFERROR(IF(VLOOKUP($B$62,_Lookups!$EA:$EF,2,FALSE())="","",IF(OR(INDIRECT("_Lookups!"&amp;ADDRESS(1+4,VLOOKUP($B$62,_Lookups!$EA:$EF,2,FALSE())))="",INDIRECT("_Lookups!"&amp;ADDRESS(1+4,VLOOKUP($B$62,_Lookups!$EA:$EF,2,FALSE())))=0),"",INDIRECT("_Lookups!"&amp;ADDRESS(1+4,VLOOKUP($B$62,_Lookups!$EA:$EF,2,FALSE()))))),"")</f>
        <v/>
      </c>
      <c r="B79" s="116" t="str">
        <f ca="1">IFERROR(IF(A79="","",INDIRECT("_Lookups!"&amp;ADDRESS(1+4,VLOOKUP($B$62,_Lookups!$EA:$EF,3,FALSE())))),"")</f>
        <v/>
      </c>
      <c r="C79" s="116" t="str">
        <f ca="1">IFERROR(IF(A76="","",INDIRECT("_Lookups!"&amp;ADDRESS(1+4,VLOOKUP($B$62,_Lookups!$EA:$EF,4,FALSE())))),"")</f>
        <v/>
      </c>
      <c r="D79" s="117" t="str">
        <f ca="1">IFERROR(IF(A76="","",INDIRECT("_Lookups!"&amp;ADDRESS(1+4,VLOOKUP($B$62,_Lookups!$EA:$EF,5,FALSE())))),"")</f>
        <v/>
      </c>
      <c r="E79" s="29" t="str">
        <f ca="1">IFERROR(IF(A76="","",INDIRECT("_Lookups!"&amp;ADDRESS(1+4,VLOOKUP($B$62,_Lookups!$EA:$EF,6,FALSE())))),"")</f>
        <v/>
      </c>
      <c r="F79" s="118" t="str">
        <f t="shared" ca="1" si="3"/>
        <v/>
      </c>
      <c r="G79" s="119"/>
    </row>
    <row r="80" spans="1:9" ht="15" customHeight="1">
      <c r="A80" s="29" t="str">
        <f ca="1">IFERROR(IF(VLOOKUP($B$62,_Lookups!$EA:$EF,2,FALSE())="","",IF(OR(INDIRECT("_Lookups!"&amp;ADDRESS(1+5,VLOOKUP($B$62,_Lookups!$EA:$EF,2,FALSE())))="",INDIRECT("_Lookups!"&amp;ADDRESS(1+5,VLOOKUP($B$62,_Lookups!$EA:$EF,2,FALSE())))=0),"",INDIRECT("_Lookups!"&amp;ADDRESS(1+5,VLOOKUP($B$62,_Lookups!$EA:$EF,2,FALSE()))))),"")</f>
        <v/>
      </c>
      <c r="B80" s="116" t="str">
        <f ca="1">IFERROR(IF(A80="","",INDIRECT("_Lookups!"&amp;ADDRESS(1+5,VLOOKUP($B$62,_Lookups!$EA:$EF,3,FALSE())))),"")</f>
        <v/>
      </c>
      <c r="C80" s="116" t="str">
        <f ca="1">IFERROR(IF(A77="","",INDIRECT("_Lookups!"&amp;ADDRESS(1+5,VLOOKUP($B$62,_Lookups!$EA:$EF,4,FALSE())))),"")</f>
        <v/>
      </c>
      <c r="D80" s="117" t="str">
        <f ca="1">IFERROR(IF(A77="","",INDIRECT("_Lookups!"&amp;ADDRESS(1+5,VLOOKUP($B$62,_Lookups!$EA:$EF,5,FALSE())))),"")</f>
        <v/>
      </c>
      <c r="E80" s="29" t="str">
        <f ca="1">IFERROR(IF(A77="","",INDIRECT("_Lookups!"&amp;ADDRESS(1+5,VLOOKUP($B$62,_Lookups!$EA:$EF,6,FALSE())))),"")</f>
        <v/>
      </c>
      <c r="F80" s="118" t="str">
        <f t="shared" ca="1" si="3"/>
        <v/>
      </c>
      <c r="G80" s="119"/>
    </row>
    <row r="81" spans="1:7" ht="15" customHeight="1">
      <c r="A81" s="29" t="str">
        <f ca="1">IFERROR(IF(VLOOKUP($B$62,_Lookups!$EA:$EF,2,FALSE())="","",IF(OR(INDIRECT("_Lookups!"&amp;ADDRESS(1+6,VLOOKUP($B$62,_Lookups!$EA:$EF,2,FALSE())))="",INDIRECT("_Lookups!"&amp;ADDRESS(1+6,VLOOKUP($B$62,_Lookups!$EA:$EF,2,FALSE())))=0),"",INDIRECT("_Lookups!"&amp;ADDRESS(1+6,VLOOKUP($B$62,_Lookups!$EA:$EF,2,FALSE()))))),"")</f>
        <v/>
      </c>
      <c r="B81" s="116" t="str">
        <f ca="1">IFERROR(IF(A81="","",INDIRECT("_Lookups!"&amp;ADDRESS(1+6,VLOOKUP($B$62,_Lookups!$EA:$EF,3,FALSE())))),"")</f>
        <v/>
      </c>
      <c r="C81" s="116" t="str">
        <f ca="1">IFERROR(IF(A78="","",INDIRECT("_Lookups!"&amp;ADDRESS(1+6,VLOOKUP($B$62,_Lookups!$EA:$EF,4,FALSE())))),"")</f>
        <v/>
      </c>
      <c r="D81" s="117" t="str">
        <f ca="1">IFERROR(IF(A78="","",INDIRECT("_Lookups!"&amp;ADDRESS(1+6,VLOOKUP($B$62,_Lookups!$EA:$EF,5,FALSE())))),"")</f>
        <v/>
      </c>
      <c r="E81" s="29" t="str">
        <f ca="1">IFERROR(IF(A78="","",INDIRECT("_Lookups!"&amp;ADDRESS(1+6,VLOOKUP($B$62,_Lookups!$EA:$EF,6,FALSE())))),"")</f>
        <v/>
      </c>
      <c r="F81" s="118" t="str">
        <f t="shared" ca="1" si="3"/>
        <v/>
      </c>
      <c r="G81" s="119"/>
    </row>
    <row r="82" spans="1:7" ht="15" customHeight="1">
      <c r="A82" s="29" t="str">
        <f ca="1">IFERROR(IF(VLOOKUP($B$62,_Lookups!$EA:$EF,2,FALSE())="","",IF(OR(INDIRECT("_Lookups!"&amp;ADDRESS(1+7,VLOOKUP($B$62,_Lookups!$EA:$EF,2,FALSE())))="",INDIRECT("_Lookups!"&amp;ADDRESS(1+7,VLOOKUP($B$62,_Lookups!$EA:$EF,2,FALSE())))=0),"",INDIRECT("_Lookups!"&amp;ADDRESS(1+7,VLOOKUP($B$62,_Lookups!$EA:$EF,2,FALSE()))))),"")</f>
        <v/>
      </c>
      <c r="B82" s="116" t="str">
        <f ca="1">IFERROR(IF(A82="","",INDIRECT("_Lookups!"&amp;ADDRESS(1+7,VLOOKUP($B$62,_Lookups!$EA:$EF,3,FALSE())))),"")</f>
        <v/>
      </c>
      <c r="C82" s="116" t="str">
        <f ca="1">IFERROR(IF(A79="","",INDIRECT("_Lookups!"&amp;ADDRESS(1+7,VLOOKUP($B$62,_Lookups!$EA:$EF,4,FALSE())))),"")</f>
        <v/>
      </c>
      <c r="D82" s="117" t="str">
        <f ca="1">IFERROR(IF(A79="","",INDIRECT("_Lookups!"&amp;ADDRESS(1+7,VLOOKUP($B$62,_Lookups!$EA:$EF,5,FALSE())))),"")</f>
        <v/>
      </c>
      <c r="E82" s="29" t="str">
        <f ca="1">IFERROR(IF(A79="","",INDIRECT("_Lookups!"&amp;ADDRESS(1+7,VLOOKUP($B$62,_Lookups!$EA:$EF,6,FALSE())))),"")</f>
        <v/>
      </c>
      <c r="F82" s="118" t="str">
        <f t="shared" ca="1" si="3"/>
        <v/>
      </c>
      <c r="G82" s="119"/>
    </row>
    <row r="83" spans="1:7" ht="15" customHeight="1">
      <c r="A83" s="29" t="str">
        <f ca="1">IFERROR(IF(VLOOKUP($B$62,_Lookups!$EA:$EF,2,FALSE())="","",IF(OR(INDIRECT("_Lookups!"&amp;ADDRESS(1+8,VLOOKUP($B$62,_Lookups!$EA:$EF,2,FALSE())))="",INDIRECT("_Lookups!"&amp;ADDRESS(1+8,VLOOKUP($B$62,_Lookups!$EA:$EF,2,FALSE())))=0),"",INDIRECT("_Lookups!"&amp;ADDRESS(1+8,VLOOKUP($B$62,_Lookups!$EA:$EF,2,FALSE()))))),"")</f>
        <v/>
      </c>
      <c r="B83" s="116" t="str">
        <f ca="1">IFERROR(IF(A83="","",INDIRECT("_Lookups!"&amp;ADDRESS(1+8,VLOOKUP($B$62,_Lookups!$EA:$EF,3,FALSE())))),"")</f>
        <v/>
      </c>
      <c r="C83" s="116" t="str">
        <f ca="1">IFERROR(IF(A80="","",INDIRECT("_Lookups!"&amp;ADDRESS(1+8,VLOOKUP($B$62,_Lookups!$EA:$EF,4,FALSE())))),"")</f>
        <v/>
      </c>
      <c r="D83" s="117" t="str">
        <f ca="1">IFERROR(IF(A80="","",INDIRECT("_Lookups!"&amp;ADDRESS(1+8,VLOOKUP($B$62,_Lookups!$EA:$EF,5,FALSE())))),"")</f>
        <v/>
      </c>
      <c r="E83" s="29" t="str">
        <f ca="1">IFERROR(IF(A80="","",INDIRECT("_Lookups!"&amp;ADDRESS(1+8,VLOOKUP($B$62,_Lookups!$EA:$EF,6,FALSE())))),"")</f>
        <v/>
      </c>
      <c r="F83" s="118" t="str">
        <f t="shared" ca="1" si="3"/>
        <v/>
      </c>
      <c r="G83" s="119"/>
    </row>
    <row r="84" spans="1:7" ht="15" customHeight="1">
      <c r="A84" s="29" t="str">
        <f ca="1">IFERROR(IF(VLOOKUP($B$62,_Lookups!$EA:$EF,2,FALSE())="","",IF(OR(INDIRECT("_Lookups!"&amp;ADDRESS(1+9,VLOOKUP($B$62,_Lookups!$EA:$EF,2,FALSE())))="",INDIRECT("_Lookups!"&amp;ADDRESS(1+9,VLOOKUP($B$62,_Lookups!$EA:$EF,2,FALSE())))=0),"",INDIRECT("_Lookups!"&amp;ADDRESS(1+9,VLOOKUP($B$62,_Lookups!$EA:$EF,2,FALSE()))))),"")</f>
        <v/>
      </c>
      <c r="B84" s="116" t="str">
        <f ca="1">IFERROR(IF(A84="","",INDIRECT("_Lookups!"&amp;ADDRESS(1+9,VLOOKUP($B$62,_Lookups!$EA:$EF,3,FALSE())))),"")</f>
        <v/>
      </c>
      <c r="C84" s="116" t="str">
        <f ca="1">IFERROR(IF(A81="","",INDIRECT("_Lookups!"&amp;ADDRESS(1+9,VLOOKUP($B$62,_Lookups!$EA:$EF,4,FALSE())))),"")</f>
        <v/>
      </c>
      <c r="D84" s="117" t="str">
        <f ca="1">IFERROR(IF(A81="","",INDIRECT("_Lookups!"&amp;ADDRESS(1+9,VLOOKUP($B$62,_Lookups!$EA:$EF,5,FALSE())))),"")</f>
        <v/>
      </c>
      <c r="E84" s="29" t="str">
        <f ca="1">IFERROR(IF(A81="","",INDIRECT("_Lookups!"&amp;ADDRESS(1+9,VLOOKUP($B$62,_Lookups!$EA:$EF,6,FALSE())))),"")</f>
        <v/>
      </c>
      <c r="F84" s="118" t="str">
        <f t="shared" ca="1" si="3"/>
        <v/>
      </c>
      <c r="G84" s="119"/>
    </row>
    <row r="85" spans="1:7" ht="15" customHeight="1">
      <c r="A85" s="29" t="str">
        <f ca="1">IFERROR(IF(VLOOKUP($B$62,_Lookups!$EA:$EF,2,FALSE())="","",IF(OR(INDIRECT("_Lookups!"&amp;ADDRESS(1+10,VLOOKUP($B$62,_Lookups!$EA:$EF,2,FALSE())))="",INDIRECT("_Lookups!"&amp;ADDRESS(1+10,VLOOKUP($B$62,_Lookups!$EA:$EF,2,FALSE())))=0),"",INDIRECT("_Lookups!"&amp;ADDRESS(1+10,VLOOKUP($B$62,_Lookups!$EA:$EF,2,FALSE()))))),"")</f>
        <v/>
      </c>
      <c r="B85" s="116" t="str">
        <f ca="1">IFERROR(IF(A85="","",INDIRECT("_Lookups!"&amp;ADDRESS(1+10,VLOOKUP($B$62,_Lookups!$EA:$EF,3,FALSE())))),"")</f>
        <v/>
      </c>
      <c r="C85" s="116" t="str">
        <f ca="1">IFERROR(IF(A82="","",INDIRECT("_Lookups!"&amp;ADDRESS(1+10,VLOOKUP($B$62,_Lookups!$EA:$EF,4,FALSE())))),"")</f>
        <v/>
      </c>
      <c r="D85" s="117" t="str">
        <f ca="1">IFERROR(IF(A82="","",INDIRECT("_Lookups!"&amp;ADDRESS(1+10,VLOOKUP($B$62,_Lookups!$EA:$EF,5,FALSE())))),"")</f>
        <v/>
      </c>
      <c r="E85" s="29" t="str">
        <f ca="1">IFERROR(IF(A82="","",INDIRECT("_Lookups!"&amp;ADDRESS(1+10,VLOOKUP($B$62,_Lookups!$EA:$EF,6,FALSE())))),"")</f>
        <v/>
      </c>
      <c r="F85" s="118" t="str">
        <f t="shared" ca="1" si="3"/>
        <v/>
      </c>
      <c r="G85" s="119"/>
    </row>
    <row r="86" spans="1:7" ht="15" customHeight="1">
      <c r="A86" s="29" t="str">
        <f ca="1">IFERROR(IF(VLOOKUP($B$62,_Lookups!$EA:$EF,2,FALSE())="","",IF(OR(INDIRECT("_Lookups!"&amp;ADDRESS(1+11,VLOOKUP($B$62,_Lookups!$EA:$EF,2,FALSE())))="",INDIRECT("_Lookups!"&amp;ADDRESS(1+11,VLOOKUP($B$62,_Lookups!$EA:$EF,2,FALSE())))=0),"",INDIRECT("_Lookups!"&amp;ADDRESS(1+11,VLOOKUP($B$62,_Lookups!$EA:$EF,2,FALSE()))))),"")</f>
        <v/>
      </c>
      <c r="B86" s="116" t="str">
        <f ca="1">IFERROR(IF(A86="","",INDIRECT("_Lookups!"&amp;ADDRESS(1+11,VLOOKUP($B$62,_Lookups!$EA:$EF,3,FALSE())))),"")</f>
        <v/>
      </c>
      <c r="C86" s="116" t="str">
        <f ca="1">IFERROR(IF(A83="","",INDIRECT("_Lookups!"&amp;ADDRESS(1+11,VLOOKUP($B$62,_Lookups!$EA:$EF,4,FALSE())))),"")</f>
        <v/>
      </c>
      <c r="D86" s="117" t="str">
        <f ca="1">IFERROR(IF(A83="","",INDIRECT("_Lookups!"&amp;ADDRESS(1+11,VLOOKUP($B$62,_Lookups!$EA:$EF,5,FALSE())))),"")</f>
        <v/>
      </c>
      <c r="E86" s="29" t="str">
        <f ca="1">IFERROR(IF(A83="","",INDIRECT("_Lookups!"&amp;ADDRESS(1+11,VLOOKUP($B$62,_Lookups!$EA:$EF,6,FALSE())))),"")</f>
        <v/>
      </c>
      <c r="F86" s="118" t="str">
        <f t="shared" ca="1" si="3"/>
        <v/>
      </c>
      <c r="G86" s="119"/>
    </row>
    <row r="87" spans="1:7" ht="15" customHeight="1">
      <c r="A87" s="84" t="str">
        <f ca="1">IFERROR(IF(VLOOKUP($B$62,_Lookups!$EA:$EF,2,FALSE())="","",IF(OR(INDIRECT("_Lookups!"&amp;ADDRESS(1+12,VLOOKUP($B$62,_Lookups!$EA:$EF,2,FALSE())))="",INDIRECT("_Lookups!"&amp;ADDRESS(1+12,VLOOKUP($B$62,_Lookups!$EA:$EF,2,FALSE())))=0),"",INDIRECT("_Lookups!"&amp;ADDRESS(1+12,VLOOKUP($B$62,_Lookups!$EA:$EF,2,FALSE()))))),"")</f>
        <v/>
      </c>
      <c r="B87" s="84" t="str">
        <f ca="1">IFERROR(IF(A87="","",INDIRECT("_Lookups!"&amp;ADDRESS(1+12,VLOOKUP($B$62,_Lookups!$EA:$EF,3,FALSE())))),"")</f>
        <v/>
      </c>
      <c r="C87" s="84" t="str">
        <f ca="1">IFERROR(IF(A84="","",INDIRECT("_Lookups!"&amp;ADDRESS(1+12,VLOOKUP($B$62,_Lookups!$EA:$EF,4,FALSE())))),"")</f>
        <v/>
      </c>
      <c r="D87" s="84" t="str">
        <f ca="1">IFERROR(IF(A84="","",INDIRECT("_Lookups!"&amp;ADDRESS(1+12,VLOOKUP($B$62,_Lookups!$EA:$EF,5,FALSE())))),"")</f>
        <v/>
      </c>
      <c r="E87" s="84" t="str">
        <f ca="1">IFERROR(IF(A84="","",INDIRECT("_Lookups!"&amp;ADDRESS(1+12,VLOOKUP($B$62,_Lookups!$EA:$EF,6,FALSE())))),"")</f>
        <v/>
      </c>
      <c r="F87" s="120" t="str">
        <f t="shared" ca="1" si="3"/>
        <v/>
      </c>
      <c r="G87" s="119"/>
    </row>
    <row r="88" spans="1:7" ht="15" customHeight="1">
      <c r="A88" s="29" t="str">
        <f ca="1">IFERROR(IF(VLOOKUP($B$62,_Lookups!$EA:$EF,2,FALSE())="","",IF(OR(INDIRECT("_Lookups!"&amp;ADDRESS(1+13,VLOOKUP($B$62,_Lookups!$EA:$EF,2,FALSE())))="",INDIRECT("_Lookups!"&amp;ADDRESS(1+13,VLOOKUP($B$62,_Lookups!$EA:$EF,2,FALSE())))=0),"",INDIRECT("_Lookups!"&amp;ADDRESS(1+13,VLOOKUP($B$62,_Lookups!$EA:$EF,2,FALSE()))))),"")</f>
        <v/>
      </c>
      <c r="B88" s="29" t="str">
        <f ca="1">IFERROR(IF(A88="","",INDIRECT("_Lookups!"&amp;ADDRESS(1+13,VLOOKUP($B$62,_Lookups!$EA:$EF,3,FALSE())))),"")</f>
        <v/>
      </c>
      <c r="C88" s="29" t="str">
        <f ca="1">IFERROR(IF(A85="","",INDIRECT("_Lookups!"&amp;ADDRESS(1+13,VLOOKUP($B$62,_Lookups!$EA:$EF,4,FALSE())))),"")</f>
        <v/>
      </c>
      <c r="D88" s="29" t="str">
        <f ca="1">IFERROR(IF(A85="","",INDIRECT("_Lookups!"&amp;ADDRESS(1+13,VLOOKUP($B$62,_Lookups!$EA:$EF,5,FALSE())))),"")</f>
        <v/>
      </c>
      <c r="E88" s="29" t="str">
        <f ca="1">IFERROR(IF(A85="","",INDIRECT("_Lookups!"&amp;ADDRESS(1+13,VLOOKUP($B$62,_Lookups!$EA:$EF,6,FALSE())))),"")</f>
        <v/>
      </c>
      <c r="F88" s="118" t="str">
        <f t="shared" ca="1" si="3"/>
        <v/>
      </c>
      <c r="G88" s="119"/>
    </row>
    <row r="89" spans="1:7" ht="15" customHeight="1">
      <c r="A89" s="24"/>
      <c r="C89" s="24"/>
    </row>
    <row r="90" spans="1:7" ht="15" customHeight="1">
      <c r="A90" s="222" t="s">
        <v>285</v>
      </c>
      <c r="B90" s="214"/>
      <c r="C90" s="214"/>
      <c r="D90" s="214"/>
      <c r="E90" s="214"/>
      <c r="F90" s="214"/>
      <c r="G90" s="214"/>
    </row>
    <row r="91" spans="1:7" ht="15" customHeight="1">
      <c r="A91" s="121" t="s">
        <v>286</v>
      </c>
      <c r="B91" s="121" t="s">
        <v>287</v>
      </c>
      <c r="C91" s="121" t="s">
        <v>288</v>
      </c>
      <c r="D91" s="121" t="s">
        <v>289</v>
      </c>
      <c r="E91" s="121" t="s">
        <v>290</v>
      </c>
      <c r="F91" s="121" t="s">
        <v>207</v>
      </c>
      <c r="G91" s="121" t="s">
        <v>291</v>
      </c>
    </row>
    <row r="92" spans="1:7" ht="15" customHeight="1">
      <c r="A92" s="24" t="s">
        <v>292</v>
      </c>
      <c r="B92" t="s">
        <v>293</v>
      </c>
      <c r="C92" t="s">
        <v>294</v>
      </c>
      <c r="D92" s="116">
        <f>IFERROR(IF(Recipe!B4="","",CEILING(MAX(_Allocations!B12:B14)/5,1)),"")</f>
        <v>10</v>
      </c>
      <c r="E92" s="29" t="s">
        <v>295</v>
      </c>
      <c r="F92" t="s">
        <v>296</v>
      </c>
      <c r="G92" t="s">
        <v>297</v>
      </c>
    </row>
    <row r="93" spans="1:7" ht="15" customHeight="1">
      <c r="A93" s="23"/>
      <c r="B93" t="s">
        <v>298</v>
      </c>
      <c r="C93" t="s">
        <v>299</v>
      </c>
      <c r="D93" s="116">
        <v>1</v>
      </c>
      <c r="E93" s="29" t="str">
        <f>IFERROR(IF(Recipe!B4="","",CEILING(Recipe!B4*1.5,5)&amp;" L"),"")</f>
        <v>150 L</v>
      </c>
      <c r="F93" t="s">
        <v>300</v>
      </c>
      <c r="G93" t="s">
        <v>297</v>
      </c>
    </row>
    <row r="94" spans="1:7" ht="15" customHeight="1">
      <c r="A94" s="23"/>
      <c r="B94" t="s">
        <v>301</v>
      </c>
      <c r="C94" t="s">
        <v>302</v>
      </c>
      <c r="D94" s="116">
        <f>IFERROR(IF(_Allocations!B14="","",CEILING(MAX(_Allocations!B12:B14)/3,1)),"")</f>
        <v>16</v>
      </c>
      <c r="E94" s="29" t="s">
        <v>303</v>
      </c>
      <c r="F94" t="s">
        <v>304</v>
      </c>
      <c r="G94" t="s">
        <v>297</v>
      </c>
    </row>
    <row r="95" spans="1:7" ht="16.5" customHeight="1">
      <c r="A95" s="24" t="s">
        <v>305</v>
      </c>
      <c r="B95" t="s">
        <v>306</v>
      </c>
      <c r="C95" s="122" t="s">
        <v>307</v>
      </c>
      <c r="D95" s="116">
        <v>1</v>
      </c>
      <c r="E95" s="29" t="str">
        <f ca="1">IFERROR(IF(Recipe!B4="","",CEILING(MAX(_Allocations!B12:B14,Plan!B10)*1.3,5)&amp;" kg"),"")</f>
        <v>60 kg</v>
      </c>
      <c r="F95" t="s">
        <v>308</v>
      </c>
      <c r="G95" t="s">
        <v>297</v>
      </c>
    </row>
    <row r="96" spans="1:7" ht="16.5" customHeight="1">
      <c r="A96" s="23"/>
      <c r="B96" t="s">
        <v>309</v>
      </c>
      <c r="C96" t="s">
        <v>310</v>
      </c>
      <c r="D96" s="116">
        <f>IFERROR(IF(Recipe!B4="","",CEILING(MAX(_Allocations!B12:B14)*1.3/5,1)+1),"")</f>
        <v>13</v>
      </c>
      <c r="E96" s="29" t="s">
        <v>311</v>
      </c>
      <c r="F96" t="s">
        <v>312</v>
      </c>
      <c r="G96" t="s">
        <v>297</v>
      </c>
    </row>
    <row r="97" spans="1:7" ht="16.5" customHeight="1">
      <c r="A97" s="23"/>
      <c r="B97" t="s">
        <v>313</v>
      </c>
      <c r="C97" t="s">
        <v>314</v>
      </c>
      <c r="D97" s="116">
        <v>1</v>
      </c>
      <c r="E97" s="29" t="str">
        <f>IFERROR(IF(Recipe!B4="","",ROUND(MAX(_Allocations!B12:B14)*1.3/20,1)&amp;" sq m"),"")</f>
        <v>3 sq m</v>
      </c>
      <c r="F97" t="s">
        <v>315</v>
      </c>
      <c r="G97" t="s">
        <v>297</v>
      </c>
    </row>
    <row r="98" spans="1:7" ht="15" customHeight="1">
      <c r="A98" s="24" t="s">
        <v>316</v>
      </c>
      <c r="B98" t="s">
        <v>317</v>
      </c>
      <c r="C98" t="s">
        <v>318</v>
      </c>
      <c r="D98" s="116" t="str">
        <f ca="1">IFERROR(IF(Plan!B10="","",IF(Plan!B39="Futa-koji (trays)",CEILING(Plan!B10*1.3/1.5,1),"-")),"-")</f>
        <v/>
      </c>
      <c r="E98" s="29" t="s">
        <v>319</v>
      </c>
      <c r="F98" t="s">
        <v>320</v>
      </c>
      <c r="G98" t="s">
        <v>297</v>
      </c>
    </row>
    <row r="99" spans="1:7" ht="16.5" customHeight="1">
      <c r="A99" s="23"/>
      <c r="B99" t="s">
        <v>321</v>
      </c>
      <c r="C99" t="s">
        <v>322</v>
      </c>
      <c r="D99" s="116" t="str">
        <f ca="1">IFERROR(IF(Plan!B10="","",IF(Plan!B39="Ueda (tubs)",CEILING(Plan!B10*1.3/15,1),"-")),"-")</f>
        <v/>
      </c>
      <c r="E99" s="29" t="s">
        <v>323</v>
      </c>
      <c r="F99" t="s">
        <v>324</v>
      </c>
      <c r="G99" t="s">
        <v>297</v>
      </c>
    </row>
    <row r="100" spans="1:7" ht="15" customHeight="1">
      <c r="A100" s="23"/>
      <c r="B100" t="s">
        <v>325</v>
      </c>
      <c r="C100" t="s">
        <v>326</v>
      </c>
      <c r="D100" s="116" t="str">
        <f ca="1">IFERROR(IF(Plan!B10="","",IF(Plan!B39="Hako-koji (boxes)",CEILING(Plan!B10*1.3/10,1),"-")),"-")</f>
        <v/>
      </c>
      <c r="E100" s="29" t="s">
        <v>327</v>
      </c>
      <c r="F100" t="s">
        <v>328</v>
      </c>
      <c r="G100" t="s">
        <v>297</v>
      </c>
    </row>
    <row r="101" spans="1:7" ht="15" customHeight="1">
      <c r="A101" s="23"/>
      <c r="B101" t="s">
        <v>329</v>
      </c>
      <c r="C101" t="s">
        <v>330</v>
      </c>
      <c r="D101" s="116" t="str">
        <f ca="1">IFERROR(IF(Plan!B10="","",CEILING(Plan!B10*1.3/5,1)),"-")</f>
        <v/>
      </c>
      <c r="E101" s="29" t="s">
        <v>331</v>
      </c>
      <c r="F101" t="s">
        <v>332</v>
      </c>
      <c r="G101" t="s">
        <v>297</v>
      </c>
    </row>
    <row r="102" spans="1:7" ht="15" customHeight="1">
      <c r="A102" s="23"/>
      <c r="B102" t="s">
        <v>333</v>
      </c>
      <c r="C102" t="s">
        <v>334</v>
      </c>
      <c r="D102" s="116">
        <v>1</v>
      </c>
      <c r="E102" s="29" t="s">
        <v>335</v>
      </c>
      <c r="F102" t="s">
        <v>336</v>
      </c>
      <c r="G102" t="s">
        <v>297</v>
      </c>
    </row>
    <row r="103" spans="1:7" ht="15" customHeight="1">
      <c r="A103" s="24" t="s">
        <v>337</v>
      </c>
      <c r="B103" t="s">
        <v>338</v>
      </c>
      <c r="C103" t="s">
        <v>339</v>
      </c>
      <c r="D103" s="116">
        <v>1</v>
      </c>
      <c r="E103" s="29" t="str">
        <f>IFERROR(IF(_Allocations!B11="","",CEILING((_Allocations!B11*1.3+_Allocations!D11)*1.5,5)&amp;" L"),"")</f>
        <v>25 L</v>
      </c>
      <c r="F103" t="s">
        <v>340</v>
      </c>
      <c r="G103" t="s">
        <v>297</v>
      </c>
    </row>
    <row r="104" spans="1:7" ht="15" customHeight="1">
      <c r="A104" s="23"/>
      <c r="B104" t="s">
        <v>341</v>
      </c>
      <c r="C104" s="122" t="s">
        <v>342</v>
      </c>
      <c r="D104" s="116" t="str">
        <f>IFERROR(IF(Plan!B36="Select","",IF(OR(Plan!B36="Kimoto",Plan!B36="Yamahai"),8,"-")),"")</f>
        <v>-</v>
      </c>
      <c r="E104" s="29" t="s">
        <v>343</v>
      </c>
      <c r="F104" t="s">
        <v>344</v>
      </c>
      <c r="G104" t="s">
        <v>297</v>
      </c>
    </row>
    <row r="105" spans="1:7" ht="15" customHeight="1">
      <c r="A105" s="23"/>
      <c r="B105" t="s">
        <v>345</v>
      </c>
      <c r="C105" s="122" t="s">
        <v>346</v>
      </c>
      <c r="D105" s="116" t="str">
        <f>IFERROR(IF(Plan!B36="Select","",IF(OR(Plan!B36="Kimoto",Plan!B36="Yamahai"),1,"-")),"")</f>
        <v>-</v>
      </c>
      <c r="E105" s="29" t="s">
        <v>347</v>
      </c>
      <c r="F105" t="s">
        <v>348</v>
      </c>
      <c r="G105" t="s">
        <v>297</v>
      </c>
    </row>
    <row r="106" spans="1:7" ht="15" customHeight="1">
      <c r="A106" s="23"/>
      <c r="B106" t="s">
        <v>349</v>
      </c>
      <c r="C106" s="122" t="s">
        <v>350</v>
      </c>
      <c r="D106" s="116" t="str">
        <f>IFERROR(IF(Plan!B36="Select","",IF(OR(Plan!B36="Kimoto",Plan!B36="Yamahai"),4,"-")),"")</f>
        <v>-</v>
      </c>
      <c r="E106" s="29" t="s">
        <v>351</v>
      </c>
      <c r="F106" t="s">
        <v>352</v>
      </c>
      <c r="G106" t="s">
        <v>297</v>
      </c>
    </row>
    <row r="107" spans="1:7" ht="16.5" customHeight="1">
      <c r="A107" s="24" t="s">
        <v>353</v>
      </c>
      <c r="B107" t="s">
        <v>354</v>
      </c>
      <c r="C107" t="s">
        <v>355</v>
      </c>
      <c r="D107" s="116">
        <v>1</v>
      </c>
      <c r="E107" s="29" t="str">
        <f>IFERROR(IF(_Allocations!B6="","",CEILING(_Allocations!B6*2,10)&amp;" L"),"")</f>
        <v>540 L</v>
      </c>
      <c r="F107" t="s">
        <v>356</v>
      </c>
      <c r="G107" t="s">
        <v>297</v>
      </c>
    </row>
    <row r="108" spans="1:7" ht="15" customHeight="1">
      <c r="A108" s="23"/>
      <c r="B108" t="s">
        <v>357</v>
      </c>
      <c r="C108" s="122" t="s">
        <v>346</v>
      </c>
      <c r="D108" s="116">
        <v>1</v>
      </c>
      <c r="E108" s="29" t="s">
        <v>358</v>
      </c>
      <c r="F108" t="s">
        <v>359</v>
      </c>
      <c r="G108" t="s">
        <v>297</v>
      </c>
    </row>
    <row r="109" spans="1:7" ht="15" customHeight="1">
      <c r="A109" s="23"/>
      <c r="B109" t="s">
        <v>360</v>
      </c>
      <c r="D109" s="116">
        <v>1</v>
      </c>
      <c r="E109" s="29" t="s">
        <v>361</v>
      </c>
      <c r="F109" t="s">
        <v>362</v>
      </c>
      <c r="G109" t="s">
        <v>297</v>
      </c>
    </row>
    <row r="110" spans="1:7" ht="15" customHeight="1">
      <c r="A110" s="24" t="s">
        <v>363</v>
      </c>
      <c r="B110" t="s">
        <v>364</v>
      </c>
      <c r="C110" t="s">
        <v>365</v>
      </c>
      <c r="D110" s="116">
        <f>IFERROR(IF(_Allocations!B6="","",CEILING(_Allocations!B6/6,1)),"-")</f>
        <v>45</v>
      </c>
      <c r="E110" s="29" t="s">
        <v>366</v>
      </c>
      <c r="F110" t="s">
        <v>367</v>
      </c>
      <c r="G110" t="s">
        <v>297</v>
      </c>
    </row>
    <row r="111" spans="1:7" ht="15" customHeight="1">
      <c r="A111" s="23"/>
      <c r="B111" t="s">
        <v>368</v>
      </c>
      <c r="C111" s="122" t="s">
        <v>369</v>
      </c>
      <c r="D111" s="116">
        <v>1</v>
      </c>
      <c r="E111" s="29" t="str">
        <f>IFERROR(IF(_Allocations!B6="","",IF(_Allocations!B6&lt;50,"Small","Standard")),"")</f>
        <v>Standard</v>
      </c>
      <c r="F111" t="s">
        <v>370</v>
      </c>
      <c r="G111" t="s">
        <v>297</v>
      </c>
    </row>
    <row r="112" spans="1:7" ht="15" customHeight="1">
      <c r="A112" s="23"/>
      <c r="B112" t="s">
        <v>371</v>
      </c>
      <c r="C112" t="s">
        <v>372</v>
      </c>
      <c r="D112" s="116">
        <v>1</v>
      </c>
      <c r="E112" s="29" t="str">
        <f>IFERROR(IF(_Allocations!B7="","",CEILING(_Allocations!B7*1.2,5)&amp;" L"),"")</f>
        <v>150 L</v>
      </c>
      <c r="F112" t="s">
        <v>373</v>
      </c>
      <c r="G112" t="s">
        <v>297</v>
      </c>
    </row>
    <row r="113" spans="1:7" ht="15" customHeight="1">
      <c r="A113" s="24" t="s">
        <v>374</v>
      </c>
      <c r="B113" t="s">
        <v>375</v>
      </c>
      <c r="C113" t="s">
        <v>376</v>
      </c>
      <c r="D113" s="116">
        <f>IFERROR(IF(_Allocations!B7="","",CEILING(_Allocations!B7/4,1)),"")</f>
        <v>31</v>
      </c>
      <c r="E113" s="29" t="s">
        <v>377</v>
      </c>
      <c r="F113" t="s">
        <v>378</v>
      </c>
      <c r="G113" t="s">
        <v>297</v>
      </c>
    </row>
    <row r="114" spans="1:7" ht="15" customHeight="1">
      <c r="A114" s="23"/>
      <c r="B114" t="s">
        <v>379</v>
      </c>
      <c r="C114" t="s">
        <v>380</v>
      </c>
      <c r="D114" s="116">
        <f>IFERROR(IF(_Allocations!B7="","",CEILING(_Allocations!B7/0.72,1)),"")</f>
        <v>169</v>
      </c>
      <c r="E114" s="29" t="s">
        <v>381</v>
      </c>
      <c r="F114" t="s">
        <v>382</v>
      </c>
      <c r="G114" t="s">
        <v>297</v>
      </c>
    </row>
    <row r="115" spans="1:7" ht="15" customHeight="1">
      <c r="A115" s="24" t="s">
        <v>383</v>
      </c>
      <c r="B115" t="s">
        <v>384</v>
      </c>
      <c r="C115" t="s">
        <v>385</v>
      </c>
      <c r="D115" s="116">
        <v>1</v>
      </c>
      <c r="E115" s="29" t="s">
        <v>386</v>
      </c>
      <c r="F115" t="s">
        <v>387</v>
      </c>
      <c r="G115" t="s">
        <v>297</v>
      </c>
    </row>
    <row r="116" spans="1:7" ht="15" customHeight="1">
      <c r="A116" s="23"/>
      <c r="B116" t="s">
        <v>388</v>
      </c>
      <c r="C116" t="s">
        <v>389</v>
      </c>
      <c r="D116" s="116">
        <v>2</v>
      </c>
      <c r="E116" s="29" t="s">
        <v>390</v>
      </c>
      <c r="F116" t="s">
        <v>391</v>
      </c>
      <c r="G116" t="s">
        <v>297</v>
      </c>
    </row>
    <row r="117" spans="1:7">
      <c r="A117" s="23"/>
      <c r="B117" t="s">
        <v>392</v>
      </c>
      <c r="C117" t="s">
        <v>393</v>
      </c>
      <c r="D117" s="116">
        <v>1</v>
      </c>
      <c r="E117" s="29"/>
      <c r="F117" t="s">
        <v>394</v>
      </c>
      <c r="G117" t="s">
        <v>297</v>
      </c>
    </row>
    <row r="118" spans="1:7" ht="15" customHeight="1">
      <c r="A118" s="23"/>
      <c r="B118" t="s">
        <v>395</v>
      </c>
      <c r="C118" t="s">
        <v>396</v>
      </c>
      <c r="D118" s="116">
        <v>1</v>
      </c>
      <c r="E118" s="29" t="s">
        <v>397</v>
      </c>
      <c r="F118" t="s">
        <v>398</v>
      </c>
      <c r="G118" t="s">
        <v>297</v>
      </c>
    </row>
    <row r="119" spans="1:7" ht="15" customHeight="1">
      <c r="A119" s="23"/>
      <c r="B119" t="s">
        <v>399</v>
      </c>
      <c r="C119" t="s">
        <v>400</v>
      </c>
      <c r="D119" s="116">
        <v>1</v>
      </c>
      <c r="E119" s="29"/>
      <c r="F119" t="s">
        <v>401</v>
      </c>
      <c r="G119" t="s">
        <v>297</v>
      </c>
    </row>
    <row r="120" spans="1:7" ht="15" customHeight="1"/>
    <row r="121" spans="1:7" ht="15" customHeight="1">
      <c r="A121" s="24"/>
    </row>
    <row r="122" spans="1:7" ht="15" customHeight="1">
      <c r="A122" s="24"/>
      <c r="B122" s="24"/>
      <c r="C122" s="24"/>
      <c r="D122" s="24"/>
      <c r="E122" s="24"/>
      <c r="F122" s="24"/>
      <c r="G122" s="24"/>
    </row>
    <row r="123" spans="1:7" ht="15" customHeight="1">
      <c r="B123" s="106"/>
      <c r="C123" s="106"/>
      <c r="F123" s="106"/>
    </row>
    <row r="124" spans="1:7" ht="15" customHeight="1">
      <c r="B124" s="106"/>
      <c r="C124" s="106"/>
      <c r="F124" s="106"/>
    </row>
    <row r="125" spans="1:7" ht="15" customHeight="1">
      <c r="B125" s="106"/>
      <c r="C125" s="106"/>
      <c r="F125" s="106"/>
    </row>
    <row r="126" spans="1:7" ht="15" customHeight="1">
      <c r="B126" s="106"/>
      <c r="C126" s="106"/>
      <c r="F126" s="106"/>
    </row>
    <row r="127" spans="1:7">
      <c r="B127" s="106"/>
      <c r="C127" s="106"/>
      <c r="F127" s="106"/>
    </row>
    <row r="128" spans="1:7" ht="15" customHeight="1">
      <c r="B128" s="106"/>
      <c r="C128" s="106"/>
      <c r="F128" s="106"/>
    </row>
    <row r="129" spans="1:6" ht="15" customHeight="1">
      <c r="B129" s="106"/>
      <c r="C129" s="106"/>
      <c r="F129" s="106"/>
    </row>
    <row r="130" spans="1:6" ht="16.5" customHeight="1"/>
    <row r="131" spans="1:6" ht="16.5" customHeight="1">
      <c r="A131" s="24"/>
      <c r="B131" s="106"/>
      <c r="C131" s="106"/>
    </row>
    <row r="132" spans="1:6" ht="16.5" customHeight="1">
      <c r="A132" s="24"/>
      <c r="B132" s="24"/>
      <c r="C132" s="24"/>
      <c r="D132" s="24"/>
    </row>
    <row r="133" spans="1:6" ht="16.5" customHeight="1">
      <c r="A133" s="24"/>
      <c r="B133" s="106"/>
    </row>
    <row r="134" spans="1:6" ht="16.5" customHeight="1">
      <c r="A134" s="24"/>
      <c r="B134" s="123"/>
      <c r="C134" s="24"/>
      <c r="D134" s="24"/>
    </row>
    <row r="135" spans="1:6" ht="15" customHeight="1">
      <c r="B135" s="106"/>
    </row>
    <row r="136" spans="1:6" ht="15" customHeight="1">
      <c r="B136" s="106"/>
    </row>
    <row r="137" spans="1:6">
      <c r="B137" s="106"/>
    </row>
    <row r="138" spans="1:6" ht="15" customHeight="1">
      <c r="B138" s="106"/>
    </row>
    <row r="139" spans="1:6">
      <c r="A139" s="124"/>
      <c r="B139" s="106"/>
    </row>
    <row r="141" spans="1:6">
      <c r="A141" s="124"/>
    </row>
  </sheetData>
  <mergeCells count="12">
    <mergeCell ref="A3:G3"/>
    <mergeCell ref="A35:G35"/>
    <mergeCell ref="A12:G12"/>
    <mergeCell ref="A20:G20"/>
    <mergeCell ref="A90:G90"/>
    <mergeCell ref="A46:G46"/>
    <mergeCell ref="A32:G32"/>
    <mergeCell ref="A66:G66"/>
    <mergeCell ref="A61:G61"/>
    <mergeCell ref="A58:G58"/>
    <mergeCell ref="A74:G74"/>
    <mergeCell ref="A40:G40"/>
  </mergeCells>
  <dataValidations count="4">
    <dataValidation type="list" allowBlank="1" sqref="B6" xr:uid="{00000000-0002-0000-0200-000000000000}">
      <formula1>"Select,Lot A,Lot B,Lot C,Lot D"</formula1>
    </dataValidation>
    <dataValidation type="list" allowBlank="1" sqref="B4" xr:uid="{00000000-0002-0000-0200-000001000000}">
      <formula1>"Select,Futa-koji (Tray),Hako-koji (Box),Ueda (Tarai),Ueda Fast,Machine (Kikai)"</formula1>
    </dataValidation>
    <dataValidation type="list" allowBlank="1" sqref="B36" xr:uid="{00000000-0002-0000-0200-000002000000}">
      <formula1>"Select,Sokujo,Kimoto,Yamahai,Bodaimoto (Nara),Mizumoto (Okayama),Kō-on Tōka,Short Kimoto,Yogurt Sokujo,1878 Tokyo,1878 Nagareyama,Doburoku (No Moto),Direct Pitch"</formula1>
    </dataValidation>
    <dataValidation type="list" allowBlank="1" sqref="B62" xr:uid="{00000000-0002-0000-0200-000003000000}">
      <formula1>"Select,Standard (20-25 days),Ginjo (25-35 days),Daiginjo (30-40 days),Quick (14-20 days),Kimoto moromi,Bodaimoto moromi"</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7"/>
  <sheetViews>
    <sheetView zoomScale="120" workbookViewId="0"/>
  </sheetViews>
  <sheetFormatPr baseColWidth="10" defaultColWidth="8.83203125" defaultRowHeight="15"/>
  <cols>
    <col min="1" max="1" width="26" customWidth="1"/>
    <col min="2" max="2" width="12" customWidth="1"/>
    <col min="3" max="3" width="24" customWidth="1"/>
    <col min="4" max="4" width="32" customWidth="1"/>
    <col min="5" max="5" width="12" customWidth="1"/>
    <col min="6" max="6" width="24" customWidth="1"/>
  </cols>
  <sheetData>
    <row r="1" spans="1:6" ht="19" customHeight="1">
      <c r="A1" s="224" t="s">
        <v>402</v>
      </c>
      <c r="B1" s="214"/>
      <c r="C1" s="214"/>
      <c r="D1" s="214"/>
      <c r="E1" s="214"/>
      <c r="F1" s="214"/>
    </row>
    <row r="3" spans="1:6">
      <c r="A3" s="217" t="s">
        <v>403</v>
      </c>
      <c r="B3" s="214"/>
      <c r="C3" s="214"/>
      <c r="D3" s="217" t="s">
        <v>404</v>
      </c>
      <c r="E3" s="214"/>
      <c r="F3" s="214"/>
    </row>
    <row r="4" spans="1:6">
      <c r="A4" t="s">
        <v>405</v>
      </c>
      <c r="B4" s="125"/>
      <c r="D4" t="s">
        <v>406</v>
      </c>
      <c r="E4" s="125"/>
    </row>
    <row r="5" spans="1:6">
      <c r="A5" t="s">
        <v>407</v>
      </c>
      <c r="B5" s="74" t="str">
        <f>IFERROR(IF(B4="","",ROUND(B4/1.4,3)),"")</f>
        <v/>
      </c>
      <c r="C5" s="126" t="s">
        <v>408</v>
      </c>
      <c r="D5" t="s">
        <v>409</v>
      </c>
      <c r="E5" s="125"/>
    </row>
    <row r="6" spans="1:6">
      <c r="A6" t="s">
        <v>410</v>
      </c>
      <c r="B6" s="125"/>
      <c r="D6" t="s">
        <v>411</v>
      </c>
      <c r="E6" s="125"/>
    </row>
    <row r="7" spans="1:6">
      <c r="A7" t="s">
        <v>407</v>
      </c>
      <c r="B7" s="74" t="str">
        <f>IFERROR(IF(B6="","",ROUND(B6/1.3,3)),"")</f>
        <v/>
      </c>
      <c r="C7" s="126" t="s">
        <v>412</v>
      </c>
      <c r="D7" t="s">
        <v>413</v>
      </c>
      <c r="E7" s="74" t="str">
        <f>IFERROR(IF(OR(E4="",E5="",E6=""),"",ROUND(E4*E5/E6,2)),"")</f>
        <v/>
      </c>
      <c r="F7" s="126" t="s">
        <v>414</v>
      </c>
    </row>
    <row r="8" spans="1:6">
      <c r="A8" t="s">
        <v>415</v>
      </c>
      <c r="B8" s="125"/>
      <c r="D8" t="s">
        <v>416</v>
      </c>
      <c r="E8" s="74" t="str">
        <f>IFERROR(IF(OR(E7="",E5=""),"",ROUND(E7-E5,2)),"")</f>
        <v/>
      </c>
      <c r="F8" s="126" t="s">
        <v>417</v>
      </c>
    </row>
    <row r="9" spans="1:6">
      <c r="A9" t="s">
        <v>418</v>
      </c>
      <c r="B9" s="125"/>
    </row>
    <row r="10" spans="1:6">
      <c r="A10" t="s">
        <v>419</v>
      </c>
      <c r="B10" s="74" t="str">
        <f>IFERROR(IF(OR(B8="",B9=""),"",ROUND((B9-B8)/B8*100,1)),"")</f>
        <v/>
      </c>
      <c r="C10" s="126" t="s">
        <v>420</v>
      </c>
      <c r="D10" s="217" t="s">
        <v>421</v>
      </c>
      <c r="E10" s="214"/>
      <c r="F10" s="214"/>
    </row>
    <row r="11" spans="1:6">
      <c r="D11" t="s">
        <v>422</v>
      </c>
      <c r="E11" s="125"/>
    </row>
    <row r="12" spans="1:6">
      <c r="A12" s="217" t="s">
        <v>423</v>
      </c>
      <c r="B12" s="214"/>
      <c r="C12" s="214"/>
      <c r="D12" t="s">
        <v>424</v>
      </c>
      <c r="E12" s="74" t="str">
        <f>IFERROR(IF(E11="","",ROUND((1/E11-1)*1443,0)),"")</f>
        <v/>
      </c>
      <c r="F12" s="126" t="s">
        <v>425</v>
      </c>
    </row>
    <row r="13" spans="1:6">
      <c r="A13" t="s">
        <v>405</v>
      </c>
      <c r="B13" s="125"/>
    </row>
    <row r="14" spans="1:6">
      <c r="A14" t="s">
        <v>426</v>
      </c>
      <c r="B14" s="74" t="str">
        <f>IFERROR(IF(B13="","",ROUND(B13*0.85,3)),"")</f>
        <v/>
      </c>
      <c r="C14" s="126" t="s">
        <v>427</v>
      </c>
      <c r="D14" s="217" t="s">
        <v>428</v>
      </c>
      <c r="E14" s="214"/>
      <c r="F14" s="214"/>
    </row>
    <row r="15" spans="1:6">
      <c r="A15" t="s">
        <v>429</v>
      </c>
      <c r="B15" s="74" t="str">
        <f>IFERROR(IF(B13="","",ROUND(B13*0.15,3)),"")</f>
        <v/>
      </c>
      <c r="C15" s="126" t="s">
        <v>430</v>
      </c>
      <c r="D15" t="s">
        <v>431</v>
      </c>
      <c r="E15" s="125"/>
    </row>
    <row r="16" spans="1:6">
      <c r="A16" t="s">
        <v>432</v>
      </c>
      <c r="B16" s="125">
        <v>40</v>
      </c>
      <c r="C16" s="126" t="s">
        <v>433</v>
      </c>
      <c r="D16" t="s">
        <v>434</v>
      </c>
      <c r="E16" s="74" t="str">
        <f>IFERROR(IF(E15="","",ROUND(E15*9/5+32,1)),"")</f>
        <v/>
      </c>
      <c r="F16" s="126" t="s">
        <v>435</v>
      </c>
    </row>
    <row r="17" spans="1:6">
      <c r="A17" t="s">
        <v>436</v>
      </c>
      <c r="B17" s="125">
        <v>45</v>
      </c>
      <c r="C17" s="126" t="s">
        <v>437</v>
      </c>
    </row>
    <row r="18" spans="1:6">
      <c r="A18" t="s">
        <v>438</v>
      </c>
      <c r="B18" s="84" t="str">
        <f>IFERROR(IF(OR(B13="",B16="",B17=""),"",IF(B17&gt;=60,"Too humid",IF(B16&lt;35,"Too cold",ROUND(150/(2.7*(1+0.05*(B16-40))*((65-B17)/25)),0)))),"")</f>
        <v/>
      </c>
      <c r="C18" s="126" t="s">
        <v>439</v>
      </c>
    </row>
    <row r="19" spans="1:6">
      <c r="A19" s="3" t="s">
        <v>440</v>
      </c>
      <c r="D19" t="s">
        <v>441</v>
      </c>
      <c r="E19" s="125"/>
    </row>
    <row r="20" spans="1:6">
      <c r="A20" t="s">
        <v>147</v>
      </c>
      <c r="B20" s="125"/>
      <c r="D20" s="214" t="s">
        <v>442</v>
      </c>
      <c r="E20" s="214"/>
      <c r="F20" s="214"/>
    </row>
    <row r="21" spans="1:6">
      <c r="A21" t="s">
        <v>443</v>
      </c>
      <c r="B21" s="125">
        <v>1.5</v>
      </c>
    </row>
    <row r="22" spans="1:6">
      <c r="A22" t="s">
        <v>444</v>
      </c>
      <c r="B22" s="74" t="str">
        <f>IFERROR(IF(OR(B20="",B21=""),"",CEILING(B20/B21,1)),"")</f>
        <v/>
      </c>
      <c r="C22" s="126" t="s">
        <v>445</v>
      </c>
      <c r="D22" s="3" t="s">
        <v>446</v>
      </c>
    </row>
    <row r="23" spans="1:6">
      <c r="D23" t="s">
        <v>447</v>
      </c>
      <c r="E23" s="125"/>
    </row>
    <row r="24" spans="1:6">
      <c r="D24" t="s">
        <v>411</v>
      </c>
      <c r="E24" s="125">
        <v>15</v>
      </c>
    </row>
    <row r="25" spans="1:6">
      <c r="D25" t="s">
        <v>448</v>
      </c>
      <c r="E25" s="74" t="str">
        <f>IFERROR(IF(OR(E21="",E22=""),"",ROUND(E21*1.3*0.63*(18/E22),1)),"")</f>
        <v/>
      </c>
      <c r="F25" s="126" t="s">
        <v>449</v>
      </c>
    </row>
    <row r="27" spans="1:6">
      <c r="A27" s="214"/>
      <c r="B27" s="214"/>
      <c r="C27" s="214"/>
      <c r="D27" s="214"/>
      <c r="E27" s="214"/>
      <c r="F27" s="214"/>
    </row>
    <row r="29" spans="1:6">
      <c r="A29" s="3" t="s">
        <v>450</v>
      </c>
      <c r="D29" s="3" t="s">
        <v>451</v>
      </c>
    </row>
    <row r="30" spans="1:6">
      <c r="A30" t="s">
        <v>266</v>
      </c>
      <c r="B30" s="125"/>
      <c r="D30" t="s">
        <v>452</v>
      </c>
      <c r="E30" s="125"/>
    </row>
    <row r="31" spans="1:6">
      <c r="A31" t="s">
        <v>453</v>
      </c>
      <c r="B31" s="125">
        <v>88</v>
      </c>
      <c r="D31" t="s">
        <v>454</v>
      </c>
      <c r="E31" s="125">
        <v>14</v>
      </c>
    </row>
    <row r="32" spans="1:6">
      <c r="A32" t="s">
        <v>455</v>
      </c>
      <c r="B32" t="str">
        <f>IFERROR(IF(OR(B30="",B31=""),"",ROUND((B30*0.4)/(B31/100),2)),"")</f>
        <v/>
      </c>
      <c r="C32" t="s">
        <v>456</v>
      </c>
      <c r="D32" t="s">
        <v>457</v>
      </c>
      <c r="E32" s="74" t="str">
        <f>IFERROR(IF(OR(E28="",E29=""),"",ROUND((E29-E28)/E29*100,0)&amp;"%"),"")</f>
        <v/>
      </c>
      <c r="F32" s="126" t="s">
        <v>458</v>
      </c>
    </row>
    <row r="34" spans="1:6">
      <c r="A34" s="3" t="s">
        <v>459</v>
      </c>
      <c r="D34" t="s">
        <v>460</v>
      </c>
      <c r="E34" s="125"/>
    </row>
    <row r="35" spans="1:6">
      <c r="A35" t="s">
        <v>461</v>
      </c>
      <c r="B35" s="125"/>
      <c r="D35" s="214" t="s">
        <v>462</v>
      </c>
      <c r="E35" s="214"/>
      <c r="F35" s="214"/>
    </row>
    <row r="36" spans="1:6">
      <c r="A36" t="s">
        <v>463</v>
      </c>
      <c r="B36" s="74" t="str">
        <f>IFERROR(IF(B35="","",ROUND(145/(145-B35),4)),"")</f>
        <v/>
      </c>
      <c r="C36" s="126" t="s">
        <v>464</v>
      </c>
    </row>
    <row r="37" spans="1:6">
      <c r="A37" t="s">
        <v>465</v>
      </c>
      <c r="B37" s="125"/>
      <c r="D37" s="3" t="s">
        <v>466</v>
      </c>
    </row>
    <row r="38" spans="1:6">
      <c r="A38" t="s">
        <v>467</v>
      </c>
      <c r="B38" s="74" t="str">
        <f>IFERROR(IF(B37="","",ROUND(145-(145/B37),1)),"")</f>
        <v/>
      </c>
      <c r="C38" s="126" t="s">
        <v>468</v>
      </c>
      <c r="D38" t="s">
        <v>469</v>
      </c>
      <c r="E38" s="125"/>
    </row>
    <row r="39" spans="1:6">
      <c r="D39" t="s">
        <v>470</v>
      </c>
      <c r="E39" s="125">
        <v>6.5</v>
      </c>
    </row>
    <row r="40" spans="1:6">
      <c r="A40" s="214"/>
      <c r="B40" s="214"/>
      <c r="C40" s="214"/>
      <c r="D40" s="214" t="s">
        <v>471</v>
      </c>
      <c r="E40" s="214"/>
      <c r="F40" s="214"/>
    </row>
    <row r="42" spans="1:6">
      <c r="A42" s="3" t="s">
        <v>472</v>
      </c>
      <c r="D42" s="3" t="s">
        <v>473</v>
      </c>
    </row>
    <row r="43" spans="1:6">
      <c r="A43" t="s">
        <v>474</v>
      </c>
      <c r="B43" s="125"/>
      <c r="D43" t="s">
        <v>447</v>
      </c>
      <c r="E43" s="125"/>
    </row>
    <row r="44" spans="1:6">
      <c r="A44" t="s">
        <v>467</v>
      </c>
      <c r="B44" s="84" t="str">
        <f>IFERROR(IF(B43="","",ROUND(B43/1.8,1)),"")</f>
        <v/>
      </c>
      <c r="C44" s="126" t="s">
        <v>475</v>
      </c>
      <c r="D44" t="s">
        <v>476</v>
      </c>
      <c r="E44" s="125">
        <v>1.3</v>
      </c>
    </row>
    <row r="45" spans="1:6">
      <c r="A45" s="214" t="s">
        <v>463</v>
      </c>
      <c r="B45" s="214"/>
      <c r="C45" s="214"/>
      <c r="D45" s="214" t="s">
        <v>477</v>
      </c>
      <c r="E45" s="214"/>
      <c r="F45" s="214"/>
    </row>
    <row r="47" spans="1:6">
      <c r="A47" s="217" t="s">
        <v>478</v>
      </c>
      <c r="B47" s="214"/>
      <c r="C47" s="214"/>
      <c r="D47" s="3" t="s">
        <v>479</v>
      </c>
    </row>
    <row r="48" spans="1:6">
      <c r="A48" t="s">
        <v>101</v>
      </c>
      <c r="B48" s="22" t="s">
        <v>480</v>
      </c>
      <c r="C48" s="126" t="s">
        <v>481</v>
      </c>
      <c r="D48" t="s">
        <v>482</v>
      </c>
      <c r="E48" s="125"/>
    </row>
    <row r="49" spans="1:6">
      <c r="A49" t="s">
        <v>405</v>
      </c>
      <c r="B49" s="125"/>
      <c r="D49" t="s">
        <v>483</v>
      </c>
      <c r="E49" s="125">
        <v>65</v>
      </c>
    </row>
    <row r="50" spans="1:6">
      <c r="A50" t="s">
        <v>484</v>
      </c>
      <c r="B50" s="84">
        <f>IFERROR(IF(B48="Tsuki-haze (Ginjo)",0.08,IF(B48="Sou-haze (Standard)",0.15,IF(B48="High-enzyme (Moto)",0.25,""))),"")</f>
        <v>0.15</v>
      </c>
      <c r="C50" s="126" t="s">
        <v>485</v>
      </c>
      <c r="D50" t="s">
        <v>486</v>
      </c>
    </row>
    <row r="51" spans="1:6">
      <c r="A51" t="s">
        <v>487</v>
      </c>
      <c r="B51" s="125">
        <v>0</v>
      </c>
      <c r="C51" s="126" t="s">
        <v>488</v>
      </c>
    </row>
    <row r="52" spans="1:6">
      <c r="A52" t="s">
        <v>489</v>
      </c>
      <c r="B52" s="84">
        <f>IFERROR(IF(OR(B50="",B51=""),"",ROUND(B50*(1+IF(B51&lt;3,0,IF(B51&lt;6,0.25,IF(B51&lt;12,0.5,1)))),3)),"")</f>
        <v>0.15</v>
      </c>
      <c r="C52" s="126" t="s">
        <v>490</v>
      </c>
    </row>
    <row r="53" spans="1:6">
      <c r="A53" t="s">
        <v>491</v>
      </c>
      <c r="B53" s="84" t="str">
        <f>IFERROR(IF(OR(B49="",B52=""),"",ROUND(B49*B52,2)),"")</f>
        <v/>
      </c>
      <c r="C53" s="126" t="s">
        <v>492</v>
      </c>
    </row>
    <row r="54" spans="1:6">
      <c r="A54" t="s">
        <v>493</v>
      </c>
      <c r="B54" s="125">
        <v>5</v>
      </c>
      <c r="C54" s="126" t="s">
        <v>494</v>
      </c>
    </row>
    <row r="55" spans="1:6">
      <c r="A55" t="s">
        <v>495</v>
      </c>
      <c r="B55" s="84" t="str">
        <f>IFERROR(IF(OR(B53="",B54=""),"",ROUND(B53*B54,1)),"")</f>
        <v/>
      </c>
      <c r="C55" s="126" t="s">
        <v>496</v>
      </c>
    </row>
    <row r="56" spans="1:6">
      <c r="A56" t="s">
        <v>497</v>
      </c>
      <c r="B56" s="84" t="str">
        <f>IFERROR(IF(OR(B53="",B55=""),"",ROUND(B53+B55,1)),"")</f>
        <v/>
      </c>
      <c r="C56" s="126" t="s">
        <v>498</v>
      </c>
    </row>
    <row r="57" spans="1:6">
      <c r="A57" t="s">
        <v>499</v>
      </c>
      <c r="B57" s="125">
        <v>2</v>
      </c>
    </row>
    <row r="58" spans="1:6">
      <c r="A58" t="s">
        <v>500</v>
      </c>
      <c r="B58" s="84" t="str">
        <f>IFERROR(IF(OR(B56="",B57=""),"",IF(B57=2,ROUND(B56*0.6,1)&amp;" / "&amp;ROUND(B56*0.4,1),ROUND(B56/B57,1))),"")</f>
        <v/>
      </c>
      <c r="C58" s="126" t="s">
        <v>501</v>
      </c>
    </row>
    <row r="59" spans="1:6">
      <c r="A59" t="s">
        <v>502</v>
      </c>
      <c r="B59" s="84" t="s">
        <v>503</v>
      </c>
      <c r="C59" s="126" t="s">
        <v>504</v>
      </c>
    </row>
    <row r="62" spans="1:6">
      <c r="A62" s="3" t="s">
        <v>505</v>
      </c>
      <c r="D62" s="3" t="s">
        <v>506</v>
      </c>
    </row>
    <row r="63" spans="1:6">
      <c r="A63" t="s">
        <v>507</v>
      </c>
      <c r="B63" s="125"/>
      <c r="D63" t="s">
        <v>508</v>
      </c>
      <c r="E63" s="125"/>
    </row>
    <row r="64" spans="1:6">
      <c r="A64" t="s">
        <v>509</v>
      </c>
      <c r="B64" s="125">
        <v>720</v>
      </c>
      <c r="D64" t="s">
        <v>510</v>
      </c>
      <c r="E64" s="84" t="str">
        <f>IFERROR(IF(E51="","",ROUND(E51*0.79,1)),"")</f>
        <v/>
      </c>
      <c r="F64" s="126" t="s">
        <v>511</v>
      </c>
    </row>
    <row r="65" spans="1:6">
      <c r="A65" t="s">
        <v>512</v>
      </c>
      <c r="B65" s="84">
        <f>IFERROR(IF(OR(B51="",B52=""),"",FLOOR(B51*1000/B52,1)),"")</f>
        <v>0</v>
      </c>
      <c r="C65" s="126" t="s">
        <v>513</v>
      </c>
      <c r="D65" s="214" t="s">
        <v>514</v>
      </c>
      <c r="E65" s="214"/>
      <c r="F65" s="214"/>
    </row>
    <row r="66" spans="1:6">
      <c r="A66" s="214"/>
      <c r="B66" s="214"/>
      <c r="C66" s="214"/>
      <c r="D66" t="s">
        <v>515</v>
      </c>
    </row>
    <row r="68" spans="1:6">
      <c r="A68" s="3" t="s">
        <v>516</v>
      </c>
      <c r="D68" s="3" t="s">
        <v>517</v>
      </c>
    </row>
    <row r="69" spans="1:6">
      <c r="A69" t="s">
        <v>447</v>
      </c>
      <c r="B69" s="125"/>
      <c r="D69" t="s">
        <v>518</v>
      </c>
      <c r="E69" s="125">
        <v>65</v>
      </c>
    </row>
    <row r="70" spans="1:6">
      <c r="A70" t="s">
        <v>519</v>
      </c>
      <c r="D70" t="s">
        <v>520</v>
      </c>
    </row>
    <row r="72" spans="1:6">
      <c r="A72" s="3" t="s">
        <v>521</v>
      </c>
      <c r="D72" s="3" t="s">
        <v>522</v>
      </c>
    </row>
    <row r="73" spans="1:6">
      <c r="A73" t="s">
        <v>523</v>
      </c>
      <c r="B73" s="125"/>
      <c r="D73" t="s">
        <v>524</v>
      </c>
      <c r="E73" s="125"/>
    </row>
    <row r="74" spans="1:6">
      <c r="A74" t="s">
        <v>525</v>
      </c>
      <c r="B74" s="125"/>
      <c r="D74" t="s">
        <v>526</v>
      </c>
      <c r="E74" s="125">
        <v>7</v>
      </c>
    </row>
    <row r="75" spans="1:6">
      <c r="A75" t="s">
        <v>527</v>
      </c>
      <c r="B75" s="125"/>
      <c r="D75" t="s">
        <v>528</v>
      </c>
    </row>
    <row r="76" spans="1:6">
      <c r="A76" t="s">
        <v>529</v>
      </c>
    </row>
    <row r="77" spans="1:6">
      <c r="D77" s="3" t="s">
        <v>530</v>
      </c>
    </row>
    <row r="78" spans="1:6">
      <c r="A78" s="3" t="s">
        <v>531</v>
      </c>
      <c r="D78" t="s">
        <v>97</v>
      </c>
      <c r="E78" s="125"/>
    </row>
    <row r="79" spans="1:6">
      <c r="A79" t="s">
        <v>415</v>
      </c>
      <c r="B79" s="125"/>
      <c r="D79" t="s">
        <v>532</v>
      </c>
      <c r="E79" s="125"/>
    </row>
    <row r="80" spans="1:6">
      <c r="A80" t="s">
        <v>533</v>
      </c>
      <c r="B80" s="84" t="str">
        <f>IFERROR(IF(B67="","",ROUND(B67*3,0)),"")</f>
        <v/>
      </c>
      <c r="C80" s="126" t="s">
        <v>534</v>
      </c>
      <c r="D80" t="s">
        <v>535</v>
      </c>
      <c r="E80" s="84" t="str">
        <f>IFERROR(IF(OR(E66="",E67=""),"",ROUND(E67/E66*100,0)&amp;"%"),"")</f>
        <v/>
      </c>
      <c r="F80" s="126" t="s">
        <v>536</v>
      </c>
    </row>
    <row r="81" spans="1:3">
      <c r="A81" t="s">
        <v>537</v>
      </c>
      <c r="B81" s="84" t="str">
        <f>IFERROR(IF(B67="","",ROUND(B67*1.5,1)),"")</f>
        <v/>
      </c>
      <c r="C81" s="126" t="s">
        <v>538</v>
      </c>
    </row>
    <row r="85" spans="1:3">
      <c r="A85" s="217" t="s">
        <v>539</v>
      </c>
      <c r="B85" s="214"/>
      <c r="C85" s="214"/>
    </row>
    <row r="86" spans="1:3">
      <c r="A86" t="s">
        <v>405</v>
      </c>
      <c r="B86" s="127"/>
      <c r="C86" t="s">
        <v>540</v>
      </c>
    </row>
    <row r="87" spans="1:3">
      <c r="A87" t="s">
        <v>541</v>
      </c>
      <c r="B87" s="127"/>
      <c r="C87" t="s">
        <v>542</v>
      </c>
    </row>
    <row r="88" spans="1:3">
      <c r="A88" t="s">
        <v>543</v>
      </c>
      <c r="B88" s="127"/>
      <c r="C88" t="s">
        <v>544</v>
      </c>
    </row>
    <row r="89" spans="1:3">
      <c r="A89" t="s">
        <v>545</v>
      </c>
      <c r="B89" s="127"/>
      <c r="C89" t="s">
        <v>542</v>
      </c>
    </row>
    <row r="90" spans="1:3">
      <c r="A90" t="s">
        <v>546</v>
      </c>
      <c r="B90" s="128" t="str">
        <f>IFERROR(IF(OR(B86="",B87="",B88="",B89=""),"",ROUND((B86*2.7*B87+B88*4.186*B89)/(B86*2.7+B88*4.186),1)),"")</f>
        <v/>
      </c>
      <c r="C90" t="s">
        <v>547</v>
      </c>
    </row>
    <row r="92" spans="1:3">
      <c r="A92" s="225" t="s">
        <v>548</v>
      </c>
      <c r="B92" s="214"/>
      <c r="C92" s="214"/>
    </row>
    <row r="93" spans="1:3">
      <c r="A93" t="s">
        <v>405</v>
      </c>
      <c r="B93" s="127"/>
      <c r="C93" t="s">
        <v>549</v>
      </c>
    </row>
    <row r="94" spans="1:3">
      <c r="A94" t="s">
        <v>541</v>
      </c>
      <c r="B94" s="127"/>
    </row>
    <row r="95" spans="1:3">
      <c r="A95" t="s">
        <v>138</v>
      </c>
      <c r="B95" s="127"/>
      <c r="C95" t="s">
        <v>550</v>
      </c>
    </row>
    <row r="96" spans="1:3">
      <c r="A96" t="s">
        <v>551</v>
      </c>
      <c r="B96" s="127"/>
      <c r="C96" t="s">
        <v>552</v>
      </c>
    </row>
    <row r="97" spans="1:6">
      <c r="A97" t="s">
        <v>140</v>
      </c>
      <c r="B97" s="127"/>
    </row>
    <row r="98" spans="1:6">
      <c r="A98" t="s">
        <v>545</v>
      </c>
      <c r="B98" s="127"/>
    </row>
    <row r="99" spans="1:6">
      <c r="A99" t="s">
        <v>546</v>
      </c>
      <c r="B99" s="128" t="str">
        <f>IFERROR(IF(OR(B93="",B94="",B95="",B96="",B97="",B98=""),"",ROUND((B93*2.7*B94+B95*1.8*B96+B97*4.186*B98)/(B93*2.7+B95*1.8+B97*4.186),1)),"")</f>
        <v/>
      </c>
      <c r="C99" t="s">
        <v>553</v>
      </c>
    </row>
    <row r="101" spans="1:6">
      <c r="A101" s="225" t="s">
        <v>554</v>
      </c>
      <c r="B101" s="214"/>
      <c r="C101" s="214"/>
    </row>
    <row r="102" spans="1:6">
      <c r="A102" t="s">
        <v>555</v>
      </c>
      <c r="B102" s="127"/>
      <c r="C102" t="s">
        <v>556</v>
      </c>
    </row>
    <row r="103" spans="1:6">
      <c r="A103" t="s">
        <v>557</v>
      </c>
      <c r="B103" s="127"/>
      <c r="C103" t="s">
        <v>558</v>
      </c>
    </row>
    <row r="104" spans="1:6">
      <c r="A104" t="s">
        <v>559</v>
      </c>
      <c r="B104" s="128" t="str">
        <f>IFERROR(IF(OR(B102="",B103=""),"",ROUND((B102-B103)*3.5+B103,1)),"")</f>
        <v/>
      </c>
      <c r="C104" t="s">
        <v>560</v>
      </c>
    </row>
    <row r="107" spans="1:6">
      <c r="A107" s="129" t="s">
        <v>561</v>
      </c>
      <c r="B107" s="130"/>
      <c r="C107" s="130"/>
      <c r="D107" s="130"/>
      <c r="E107" s="130"/>
      <c r="F107" s="130"/>
    </row>
    <row r="108" spans="1:6">
      <c r="A108" s="130"/>
      <c r="B108" s="130"/>
      <c r="C108" s="130"/>
      <c r="D108" s="130"/>
      <c r="E108" s="130"/>
      <c r="F108" s="130"/>
    </row>
    <row r="109" spans="1:6">
      <c r="A109" s="129" t="s">
        <v>562</v>
      </c>
      <c r="B109" s="130"/>
      <c r="C109" s="130"/>
      <c r="D109" s="130"/>
      <c r="E109" s="130"/>
      <c r="F109" s="130"/>
    </row>
    <row r="110" spans="1:6">
      <c r="A110" s="131" t="s">
        <v>563</v>
      </c>
      <c r="B110" s="130"/>
      <c r="C110" s="130"/>
      <c r="D110" s="130"/>
      <c r="E110" s="130"/>
      <c r="F110" s="130"/>
    </row>
    <row r="111" spans="1:6">
      <c r="A111" s="132" t="s">
        <v>564</v>
      </c>
      <c r="B111" s="130"/>
      <c r="C111" s="130"/>
      <c r="D111" s="130"/>
      <c r="E111" s="130"/>
      <c r="F111" s="130"/>
    </row>
    <row r="112" spans="1:6">
      <c r="A112" s="130"/>
      <c r="B112" s="130"/>
      <c r="C112" s="130"/>
      <c r="D112" s="130"/>
      <c r="E112" s="130"/>
      <c r="F112" s="130"/>
    </row>
    <row r="113" spans="1:6">
      <c r="A113" s="130" t="s">
        <v>565</v>
      </c>
      <c r="B113" s="133"/>
      <c r="C113" s="130"/>
      <c r="D113" s="130"/>
      <c r="E113" s="130"/>
      <c r="F113" s="130"/>
    </row>
    <row r="114" spans="1:6">
      <c r="A114" s="130" t="s">
        <v>566</v>
      </c>
      <c r="B114" s="133">
        <v>10</v>
      </c>
      <c r="C114" s="130"/>
      <c r="D114" s="134" t="s">
        <v>567</v>
      </c>
      <c r="E114" s="130"/>
      <c r="F114" s="130"/>
    </row>
    <row r="115" spans="1:6">
      <c r="A115" s="130" t="s">
        <v>568</v>
      </c>
      <c r="B115" s="133" t="s">
        <v>569</v>
      </c>
      <c r="C115" s="130"/>
      <c r="D115" s="134" t="s">
        <v>570</v>
      </c>
      <c r="E115" s="130"/>
      <c r="F115" s="130"/>
    </row>
    <row r="116" spans="1:6">
      <c r="A116" s="130"/>
      <c r="B116" s="130"/>
      <c r="C116" s="130"/>
      <c r="D116" s="134" t="s">
        <v>571</v>
      </c>
      <c r="E116" s="130"/>
      <c r="F116" s="130"/>
    </row>
    <row r="117" spans="1:6">
      <c r="A117" s="130" t="s">
        <v>572</v>
      </c>
      <c r="B117" s="135" t="str">
        <f>IFERROR(IF(OR(B113="",B114=""),"",ROUND(B113*B114/100,3)),"")</f>
        <v/>
      </c>
      <c r="C117" s="130"/>
      <c r="D117" s="130"/>
      <c r="E117" s="130"/>
      <c r="F117" s="130"/>
    </row>
    <row r="118" spans="1:6">
      <c r="A118" s="130" t="s">
        <v>573</v>
      </c>
      <c r="B118" s="133">
        <v>1</v>
      </c>
      <c r="C118" s="130"/>
      <c r="D118" s="130"/>
      <c r="E118" s="130"/>
      <c r="F118" s="130"/>
    </row>
    <row r="119" spans="1:6">
      <c r="A119" s="130" t="s">
        <v>476</v>
      </c>
      <c r="B119" s="133">
        <v>1.5</v>
      </c>
      <c r="C119" s="130"/>
      <c r="D119" s="130"/>
      <c r="E119" s="130"/>
      <c r="F119" s="130"/>
    </row>
    <row r="120" spans="1:6">
      <c r="A120" s="130" t="s">
        <v>574</v>
      </c>
      <c r="B120" s="135" t="str">
        <f>IFERROR(IF(OR(B117="",B118=""),"",ROUND(B117*B118,2)),"")</f>
        <v/>
      </c>
      <c r="C120" s="130"/>
      <c r="D120" s="130"/>
      <c r="E120" s="130"/>
      <c r="F120" s="130"/>
    </row>
    <row r="121" spans="1:6">
      <c r="A121" s="130" t="s">
        <v>575</v>
      </c>
      <c r="B121" s="135" t="str">
        <f>IFERROR(IF(OR(B117="",B119=""),"",ROUND(B117*B119,2)),"")</f>
        <v/>
      </c>
      <c r="C121" s="130"/>
      <c r="D121" s="130"/>
      <c r="E121" s="130"/>
      <c r="F121" s="130"/>
    </row>
    <row r="122" spans="1:6">
      <c r="A122" s="130" t="s">
        <v>576</v>
      </c>
      <c r="B122" s="135" t="str">
        <f>IFERROR(IF(B117="","",ROUND((B117*1.4+B117*B118*1.16+B117*B119)/1.1,1)),"")</f>
        <v/>
      </c>
      <c r="C122" s="130"/>
      <c r="D122" s="130"/>
      <c r="E122" s="130"/>
      <c r="F122" s="130"/>
    </row>
    <row r="123" spans="1:6">
      <c r="A123" s="134" t="s">
        <v>577</v>
      </c>
      <c r="B123" s="134" t="s">
        <v>578</v>
      </c>
      <c r="C123" s="130"/>
      <c r="D123" s="130"/>
      <c r="E123" s="130"/>
      <c r="F123" s="130"/>
    </row>
    <row r="124" spans="1:6">
      <c r="A124" s="130"/>
      <c r="B124" s="130"/>
      <c r="C124" s="130"/>
      <c r="D124" s="130"/>
      <c r="E124" s="130"/>
      <c r="F124" s="130"/>
    </row>
    <row r="125" spans="1:6">
      <c r="A125" s="129" t="s">
        <v>579</v>
      </c>
      <c r="B125" s="130"/>
      <c r="C125" s="130"/>
      <c r="D125" s="130"/>
      <c r="E125" s="130"/>
      <c r="F125" s="130"/>
    </row>
    <row r="126" spans="1:6">
      <c r="A126" s="131" t="s">
        <v>580</v>
      </c>
      <c r="B126" s="130"/>
      <c r="C126" s="130"/>
      <c r="D126" s="130"/>
      <c r="E126" s="130"/>
      <c r="F126" s="130"/>
    </row>
    <row r="127" spans="1:6">
      <c r="A127" s="132" t="s">
        <v>581</v>
      </c>
      <c r="B127" s="130"/>
      <c r="C127" s="130"/>
      <c r="D127" s="130"/>
      <c r="E127" s="130"/>
      <c r="F127" s="130"/>
    </row>
    <row r="128" spans="1:6">
      <c r="A128" s="130"/>
      <c r="B128" s="130"/>
      <c r="C128" s="130"/>
      <c r="D128" s="130"/>
      <c r="E128" s="130"/>
      <c r="F128" s="130"/>
    </row>
    <row r="129" spans="1:6">
      <c r="A129" s="130" t="s">
        <v>482</v>
      </c>
      <c r="B129" s="133"/>
      <c r="C129" s="130"/>
      <c r="D129" s="130"/>
      <c r="E129" s="130"/>
      <c r="F129" s="130"/>
    </row>
    <row r="130" spans="1:6">
      <c r="A130" s="130" t="s">
        <v>582</v>
      </c>
      <c r="B130" s="133"/>
      <c r="C130" s="130"/>
      <c r="D130" s="130"/>
      <c r="E130" s="130"/>
      <c r="F130" s="130"/>
    </row>
    <row r="131" spans="1:6">
      <c r="A131" s="130" t="s">
        <v>583</v>
      </c>
      <c r="B131" s="133">
        <v>0</v>
      </c>
      <c r="C131" s="130"/>
      <c r="D131" s="130"/>
      <c r="E131" s="130"/>
      <c r="F131" s="130"/>
    </row>
    <row r="132" spans="1:6">
      <c r="A132" s="130" t="s">
        <v>584</v>
      </c>
      <c r="B132" s="133">
        <v>25</v>
      </c>
      <c r="C132" s="130"/>
      <c r="D132" s="130"/>
      <c r="E132" s="130"/>
      <c r="F132" s="130"/>
    </row>
    <row r="133" spans="1:6">
      <c r="A133" s="130"/>
      <c r="B133" s="130"/>
      <c r="C133" s="130"/>
      <c r="D133" s="130"/>
      <c r="E133" s="130"/>
      <c r="F133" s="130"/>
    </row>
    <row r="134" spans="1:6">
      <c r="A134" s="130" t="s">
        <v>585</v>
      </c>
      <c r="B134" s="135" t="str">
        <f>IFERROR(IF(OR(B129="",B130="",B131=""),"",IF(B130&lt;=B131,"N/A",ROUND((B130-B131)*B129*1.75,0))),"")</f>
        <v/>
      </c>
      <c r="C134" s="130"/>
      <c r="D134" s="130"/>
      <c r="E134" s="130"/>
      <c r="F134" s="130"/>
    </row>
    <row r="135" spans="1:6">
      <c r="A135" s="130" t="s">
        <v>586</v>
      </c>
      <c r="B135" s="135" t="str">
        <f>IFERROR(IF(OR(B134="",B134="N/A",B132=""),"",ROUND(B134/(B132*10),2)),"")</f>
        <v/>
      </c>
      <c r="C135" s="130"/>
      <c r="D135" s="130"/>
      <c r="E135" s="130"/>
      <c r="F135" s="130"/>
    </row>
    <row r="136" spans="1:6">
      <c r="A136" s="130"/>
      <c r="B136" s="130"/>
      <c r="C136" s="130"/>
      <c r="D136" s="130"/>
      <c r="E136" s="130"/>
      <c r="F136" s="130"/>
    </row>
    <row r="137" spans="1:6">
      <c r="A137" s="129" t="s">
        <v>587</v>
      </c>
      <c r="B137" s="130"/>
      <c r="C137" s="130"/>
      <c r="D137" s="130"/>
      <c r="E137" s="130"/>
      <c r="F137" s="130"/>
    </row>
    <row r="138" spans="1:6">
      <c r="A138" s="131" t="s">
        <v>588</v>
      </c>
      <c r="B138" s="130"/>
      <c r="C138" s="130"/>
      <c r="D138" s="130"/>
      <c r="E138" s="130"/>
      <c r="F138" s="130"/>
    </row>
    <row r="139" spans="1:6">
      <c r="A139" s="130"/>
      <c r="B139" s="130"/>
      <c r="C139" s="130"/>
      <c r="D139" s="130"/>
      <c r="E139" s="130"/>
      <c r="F139" s="130"/>
    </row>
    <row r="140" spans="1:6">
      <c r="A140" s="130" t="s">
        <v>589</v>
      </c>
      <c r="B140" s="133"/>
      <c r="C140" s="130"/>
      <c r="D140" s="130"/>
      <c r="E140" s="130"/>
      <c r="F140" s="130"/>
    </row>
    <row r="141" spans="1:6">
      <c r="A141" s="130" t="s">
        <v>590</v>
      </c>
      <c r="B141" s="135" t="str">
        <f>IFERROR(IF(OR(B140="",B129="",B132=""),"",ROUND(-(B140*B132*10)/(B129*1.75),1)),"")</f>
        <v/>
      </c>
      <c r="C141" s="130"/>
      <c r="D141" s="130"/>
      <c r="E141" s="130"/>
      <c r="F141" s="130"/>
    </row>
    <row r="142" spans="1:6">
      <c r="A142" s="130" t="s">
        <v>591</v>
      </c>
      <c r="B142" s="135" t="str">
        <f>IFERROR(IF(OR(B130="",B141=""),"",ROUND(B130+B141,1)),"")</f>
        <v/>
      </c>
      <c r="C142" s="130"/>
      <c r="D142" s="130"/>
      <c r="E142" s="130"/>
      <c r="F142" s="130"/>
    </row>
    <row r="143" spans="1:6">
      <c r="A143" s="130"/>
      <c r="B143" s="130"/>
      <c r="C143" s="130"/>
      <c r="D143" s="130"/>
      <c r="E143" s="130"/>
      <c r="F143" s="130"/>
    </row>
    <row r="144" spans="1:6">
      <c r="A144" s="129" t="s">
        <v>592</v>
      </c>
      <c r="B144" s="130"/>
      <c r="C144" s="130"/>
      <c r="D144" s="130"/>
      <c r="E144" s="130"/>
      <c r="F144" s="130"/>
    </row>
    <row r="145" spans="1:6">
      <c r="A145" s="131" t="s">
        <v>593</v>
      </c>
      <c r="B145" s="130"/>
      <c r="C145" s="130"/>
      <c r="D145" s="130"/>
      <c r="E145" s="130"/>
      <c r="F145" s="130"/>
    </row>
    <row r="146" spans="1:6">
      <c r="A146" s="130"/>
      <c r="B146" s="130"/>
      <c r="C146" s="130"/>
      <c r="D146" s="130"/>
      <c r="E146" s="130"/>
      <c r="F146" s="130"/>
    </row>
    <row r="147" spans="1:6">
      <c r="A147" s="130" t="s">
        <v>523</v>
      </c>
      <c r="B147" s="133"/>
      <c r="C147" s="130"/>
      <c r="D147" s="130"/>
      <c r="E147" s="130"/>
      <c r="F147" s="130"/>
    </row>
    <row r="148" spans="1:6">
      <c r="A148" s="130" t="s">
        <v>406</v>
      </c>
      <c r="B148" s="133"/>
      <c r="C148" s="130"/>
      <c r="D148" s="130"/>
      <c r="E148" s="130"/>
      <c r="F148" s="130"/>
    </row>
    <row r="149" spans="1:6">
      <c r="A149" s="130" t="s">
        <v>411</v>
      </c>
      <c r="B149" s="133">
        <v>16</v>
      </c>
      <c r="C149" s="130"/>
      <c r="D149" s="130"/>
      <c r="E149" s="130"/>
      <c r="F149" s="130"/>
    </row>
    <row r="150" spans="1:6">
      <c r="A150" t="s">
        <v>416</v>
      </c>
      <c r="B150" s="84" t="str">
        <f>IFERROR(IF(OR(B147="",B148="",B149=""),"",IF(B148&lt;=B149,"N/A",ROUND(B147*((B148/B149)-1),2))),"")</f>
        <v/>
      </c>
    </row>
    <row r="152" spans="1:6">
      <c r="A152" s="129" t="s">
        <v>594</v>
      </c>
    </row>
    <row r="153" spans="1:6">
      <c r="A153" t="s">
        <v>595</v>
      </c>
      <c r="B153" s="22"/>
    </row>
    <row r="154" spans="1:6">
      <c r="A154" t="s">
        <v>596</v>
      </c>
      <c r="B154" s="84" t="str">
        <f>IFERROR(IF(B153="","",ROUND(B153*2.20462,2)),"")</f>
        <v/>
      </c>
      <c r="C154" s="134" t="s">
        <v>597</v>
      </c>
    </row>
    <row r="156" spans="1:6">
      <c r="A156" t="s">
        <v>598</v>
      </c>
      <c r="B156" s="22"/>
    </row>
    <row r="157" spans="1:6">
      <c r="A157" t="s">
        <v>599</v>
      </c>
      <c r="B157" s="84" t="str">
        <f>IFERROR(IF(B156="","",ROUND(B156*0.453592,2)),"")</f>
        <v/>
      </c>
      <c r="C157" s="134" t="s">
        <v>600</v>
      </c>
    </row>
  </sheetData>
  <mergeCells count="20">
    <mergeCell ref="A101:C101"/>
    <mergeCell ref="A12:C12"/>
    <mergeCell ref="A47:C47"/>
    <mergeCell ref="A85:C85"/>
    <mergeCell ref="D3:F3"/>
    <mergeCell ref="D14:F14"/>
    <mergeCell ref="D35:F35"/>
    <mergeCell ref="A40:C40"/>
    <mergeCell ref="A92:C92"/>
    <mergeCell ref="D20:F20"/>
    <mergeCell ref="D10:F10"/>
    <mergeCell ref="A45:C45"/>
    <mergeCell ref="A1:F1"/>
    <mergeCell ref="D65:F65"/>
    <mergeCell ref="D40:F40"/>
    <mergeCell ref="D45:F45"/>
    <mergeCell ref="A66:C66"/>
    <mergeCell ref="D27:F27"/>
    <mergeCell ref="A27:C27"/>
    <mergeCell ref="A3:C3"/>
  </mergeCells>
  <dataValidations count="2">
    <dataValidation type="list" allowBlank="1" sqref="B48" xr:uid="{00000000-0002-0000-0300-000000000000}">
      <formula1>"Select,Tsuki-haze (Ginjo),Sou-haze (Standard),High-enzyme (Moto)"</formula1>
    </dataValidation>
    <dataValidation type="list" allowBlank="1" sqref="B115" xr:uid="{00000000-0002-0000-0300-000001000000}">
      <formula1>"Uruchi (regular),Mochi (glutinous)"</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2"/>
  <sheetViews>
    <sheetView zoomScale="120" workbookViewId="0"/>
  </sheetViews>
  <sheetFormatPr baseColWidth="10" defaultColWidth="8.83203125" defaultRowHeight="15"/>
  <cols>
    <col min="1" max="1" width="26" customWidth="1"/>
    <col min="2" max="2" width="12" customWidth="1"/>
    <col min="4" max="4" width="26" customWidth="1"/>
    <col min="5" max="5" width="12" customWidth="1"/>
  </cols>
  <sheetData>
    <row r="1" spans="1:6" ht="19" customHeight="1">
      <c r="A1" s="136" t="s">
        <v>601</v>
      </c>
    </row>
    <row r="3" spans="1:6">
      <c r="A3" s="217" t="s">
        <v>602</v>
      </c>
      <c r="B3" s="214"/>
      <c r="C3" s="214"/>
      <c r="D3" s="214"/>
      <c r="E3" s="214"/>
      <c r="F3" s="214"/>
    </row>
    <row r="5" spans="1:6" ht="30" customHeight="1">
      <c r="A5" s="227" t="s">
        <v>603</v>
      </c>
      <c r="B5" s="214"/>
      <c r="C5" s="214"/>
      <c r="D5" s="214"/>
      <c r="E5" s="214"/>
      <c r="F5" s="214"/>
    </row>
    <row r="7" spans="1:6">
      <c r="A7" s="12" t="s">
        <v>604</v>
      </c>
    </row>
    <row r="8" spans="1:6">
      <c r="A8" s="5" t="s">
        <v>605</v>
      </c>
      <c r="B8" s="137"/>
    </row>
    <row r="9" spans="1:6">
      <c r="A9" s="5" t="s">
        <v>606</v>
      </c>
      <c r="B9" s="137">
        <v>13</v>
      </c>
    </row>
    <row r="11" spans="1:6">
      <c r="A11" s="12" t="s">
        <v>607</v>
      </c>
    </row>
    <row r="12" spans="1:6">
      <c r="A12" s="5" t="s">
        <v>608</v>
      </c>
      <c r="B12" s="138">
        <f>IFERROR(B8*0.67,"")</f>
        <v>0</v>
      </c>
    </row>
    <row r="13" spans="1:6">
      <c r="A13" s="5" t="s">
        <v>609</v>
      </c>
      <c r="B13" s="138">
        <f>IFERROR(B8*B9*10,"")</f>
        <v>0</v>
      </c>
    </row>
    <row r="14" spans="1:6">
      <c r="A14" s="5" t="s">
        <v>610</v>
      </c>
      <c r="B14" s="138">
        <f>IFERROR(B8*200,"")</f>
        <v>0</v>
      </c>
    </row>
    <row r="16" spans="1:6">
      <c r="A16" s="12" t="s">
        <v>611</v>
      </c>
    </row>
    <row r="17" spans="1:6">
      <c r="A17" s="5" t="s">
        <v>612</v>
      </c>
      <c r="B17" s="139" t="s">
        <v>613</v>
      </c>
    </row>
    <row r="18" spans="1:6">
      <c r="A18" s="5" t="s">
        <v>614</v>
      </c>
      <c r="B18" s="139" t="s">
        <v>615</v>
      </c>
    </row>
    <row r="19" spans="1:6">
      <c r="A19" s="5" t="s">
        <v>616</v>
      </c>
      <c r="B19" s="139" t="s">
        <v>617</v>
      </c>
    </row>
    <row r="22" spans="1:6">
      <c r="A22" s="217" t="s">
        <v>618</v>
      </c>
      <c r="B22" s="214"/>
      <c r="C22" s="214"/>
      <c r="D22" s="214"/>
      <c r="E22" s="214"/>
      <c r="F22" s="214"/>
    </row>
    <row r="24" spans="1:6" ht="30" customHeight="1">
      <c r="A24" s="227" t="s">
        <v>619</v>
      </c>
      <c r="B24" s="214"/>
      <c r="C24" s="214"/>
      <c r="D24" s="214"/>
      <c r="E24" s="214"/>
      <c r="F24" s="214"/>
    </row>
    <row r="26" spans="1:6">
      <c r="A26" s="12" t="s">
        <v>604</v>
      </c>
    </row>
    <row r="27" spans="1:6">
      <c r="A27" s="5" t="s">
        <v>620</v>
      </c>
      <c r="B27" s="137"/>
    </row>
    <row r="29" spans="1:6">
      <c r="A29" s="12" t="s">
        <v>607</v>
      </c>
    </row>
    <row r="30" spans="1:6">
      <c r="A30" s="5" t="s">
        <v>621</v>
      </c>
      <c r="B30" s="138">
        <f>IFERROR(B27*0.25,"")</f>
        <v>0</v>
      </c>
    </row>
    <row r="31" spans="1:6">
      <c r="A31" s="5" t="s">
        <v>608</v>
      </c>
      <c r="B31" s="138">
        <f>IFERROR(B27*0.25,"")</f>
        <v>0</v>
      </c>
    </row>
    <row r="32" spans="1:6">
      <c r="A32" s="5" t="s">
        <v>140</v>
      </c>
      <c r="B32" s="138">
        <f>IFERROR(B27*0.6,"")</f>
        <v>0</v>
      </c>
    </row>
    <row r="34" spans="1:6">
      <c r="A34" s="12" t="s">
        <v>611</v>
      </c>
    </row>
    <row r="35" spans="1:6">
      <c r="A35" s="5" t="s">
        <v>622</v>
      </c>
      <c r="B35" s="139" t="s">
        <v>623</v>
      </c>
    </row>
    <row r="36" spans="1:6">
      <c r="A36" s="5" t="s">
        <v>624</v>
      </c>
      <c r="B36" s="139" t="s">
        <v>625</v>
      </c>
    </row>
    <row r="37" spans="1:6">
      <c r="A37" s="5" t="s">
        <v>626</v>
      </c>
      <c r="B37" s="139" t="s">
        <v>627</v>
      </c>
    </row>
    <row r="38" spans="1:6">
      <c r="A38" s="5" t="s">
        <v>628</v>
      </c>
      <c r="B38" s="139" t="s">
        <v>629</v>
      </c>
    </row>
    <row r="39" spans="1:6">
      <c r="A39" s="5" t="s">
        <v>616</v>
      </c>
      <c r="B39" s="139" t="s">
        <v>630</v>
      </c>
    </row>
    <row r="42" spans="1:6">
      <c r="A42" s="217" t="s">
        <v>631</v>
      </c>
      <c r="B42" s="214"/>
      <c r="C42" s="214"/>
      <c r="D42" s="214"/>
      <c r="E42" s="214"/>
      <c r="F42" s="214"/>
    </row>
    <row r="44" spans="1:6" ht="30" customHeight="1">
      <c r="A44" s="227" t="s">
        <v>632</v>
      </c>
      <c r="B44" s="214"/>
      <c r="C44" s="214"/>
      <c r="D44" s="214"/>
      <c r="E44" s="214"/>
      <c r="F44" s="214"/>
    </row>
    <row r="46" spans="1:6">
      <c r="A46" s="12" t="s">
        <v>604</v>
      </c>
    </row>
    <row r="47" spans="1:6">
      <c r="A47" s="5" t="s">
        <v>633</v>
      </c>
      <c r="B47" s="137"/>
    </row>
    <row r="48" spans="1:6">
      <c r="A48" s="5" t="s">
        <v>573</v>
      </c>
      <c r="B48" s="137">
        <v>1</v>
      </c>
    </row>
    <row r="49" spans="1:2">
      <c r="A49" s="5" t="s">
        <v>634</v>
      </c>
      <c r="B49" s="137">
        <v>12</v>
      </c>
    </row>
    <row r="51" spans="1:2">
      <c r="A51" s="12" t="s">
        <v>607</v>
      </c>
    </row>
    <row r="52" spans="1:2">
      <c r="A52" s="5" t="s">
        <v>635</v>
      </c>
      <c r="B52" s="138">
        <f>IFERROR(B47/(1+B48+B49/100+0.5),"")</f>
        <v>0</v>
      </c>
    </row>
    <row r="53" spans="1:2">
      <c r="A53" s="5" t="s">
        <v>608</v>
      </c>
      <c r="B53" s="138">
        <f>IFERROR(B52*B48,"")</f>
        <v>0</v>
      </c>
    </row>
    <row r="54" spans="1:2">
      <c r="A54" s="5" t="s">
        <v>636</v>
      </c>
      <c r="B54" s="138">
        <f>IFERROR(B47*B49/100,"")</f>
        <v>0</v>
      </c>
    </row>
    <row r="55" spans="1:2">
      <c r="A55" s="5" t="s">
        <v>637</v>
      </c>
      <c r="B55" s="138">
        <f>IFERROR(B52*200,"")</f>
        <v>0</v>
      </c>
    </row>
    <row r="57" spans="1:2">
      <c r="A57" s="12" t="s">
        <v>638</v>
      </c>
    </row>
    <row r="58" spans="1:2">
      <c r="A58" s="5" t="s">
        <v>639</v>
      </c>
      <c r="B58" s="139" t="s">
        <v>640</v>
      </c>
    </row>
    <row r="59" spans="1:2">
      <c r="A59" s="5" t="s">
        <v>641</v>
      </c>
      <c r="B59" s="139" t="s">
        <v>642</v>
      </c>
    </row>
    <row r="60" spans="1:2">
      <c r="A60" s="5" t="s">
        <v>643</v>
      </c>
      <c r="B60" s="139" t="s">
        <v>644</v>
      </c>
    </row>
    <row r="61" spans="1:2">
      <c r="A61" s="5" t="s">
        <v>645</v>
      </c>
      <c r="B61" s="139" t="s">
        <v>646</v>
      </c>
    </row>
    <row r="62" spans="1:2">
      <c r="A62" s="5" t="s">
        <v>647</v>
      </c>
      <c r="B62" s="139" t="s">
        <v>648</v>
      </c>
    </row>
    <row r="64" spans="1:2">
      <c r="A64" s="12" t="s">
        <v>611</v>
      </c>
    </row>
    <row r="65" spans="1:6">
      <c r="A65" s="5" t="s">
        <v>649</v>
      </c>
      <c r="B65" s="139" t="s">
        <v>650</v>
      </c>
    </row>
    <row r="66" spans="1:6">
      <c r="A66" s="5" t="s">
        <v>651</v>
      </c>
      <c r="B66" s="139" t="s">
        <v>652</v>
      </c>
    </row>
    <row r="67" spans="1:6">
      <c r="A67" s="5" t="s">
        <v>653</v>
      </c>
      <c r="B67" s="139" t="s">
        <v>654</v>
      </c>
    </row>
    <row r="68" spans="1:6">
      <c r="A68" s="5" t="s">
        <v>655</v>
      </c>
      <c r="B68" s="139" t="s">
        <v>656</v>
      </c>
    </row>
    <row r="69" spans="1:6">
      <c r="A69" s="5" t="s">
        <v>657</v>
      </c>
      <c r="B69" s="139" t="s">
        <v>658</v>
      </c>
    </row>
    <row r="70" spans="1:6">
      <c r="A70" s="5" t="s">
        <v>659</v>
      </c>
      <c r="B70" s="139" t="s">
        <v>660</v>
      </c>
    </row>
    <row r="71" spans="1:6">
      <c r="A71" s="5" t="s">
        <v>661</v>
      </c>
      <c r="B71" s="139" t="s">
        <v>662</v>
      </c>
    </row>
    <row r="72" spans="1:6">
      <c r="A72" s="5" t="s">
        <v>663</v>
      </c>
      <c r="B72" s="139" t="s">
        <v>664</v>
      </c>
    </row>
    <row r="75" spans="1:6">
      <c r="A75" s="217" t="s">
        <v>665</v>
      </c>
      <c r="B75" s="214"/>
      <c r="C75" s="214"/>
      <c r="D75" s="214"/>
      <c r="E75" s="214"/>
      <c r="F75" s="214"/>
    </row>
    <row r="77" spans="1:6" ht="30" customHeight="1">
      <c r="A77" s="227" t="s">
        <v>666</v>
      </c>
      <c r="B77" s="214"/>
      <c r="C77" s="214"/>
      <c r="D77" s="214"/>
      <c r="E77" s="214"/>
      <c r="F77" s="214"/>
    </row>
    <row r="79" spans="1:6">
      <c r="A79" s="12" t="s">
        <v>604</v>
      </c>
    </row>
    <row r="80" spans="1:6">
      <c r="A80" s="5" t="s">
        <v>667</v>
      </c>
      <c r="B80" s="137"/>
    </row>
    <row r="81" spans="1:2">
      <c r="A81" s="5" t="s">
        <v>668</v>
      </c>
      <c r="B81" s="137">
        <v>35</v>
      </c>
    </row>
    <row r="83" spans="1:2">
      <c r="A83" s="12" t="s">
        <v>607</v>
      </c>
    </row>
    <row r="84" spans="1:2">
      <c r="A84" s="5" t="s">
        <v>669</v>
      </c>
      <c r="B84" s="138">
        <f>IFERROR(B80/1.5*0.42,"")</f>
        <v>0</v>
      </c>
    </row>
    <row r="85" spans="1:2">
      <c r="A85" s="5" t="s">
        <v>608</v>
      </c>
      <c r="B85" s="138">
        <f>IFERROR(B80/1.5*0.16,"")</f>
        <v>0</v>
      </c>
    </row>
    <row r="86" spans="1:2">
      <c r="A86" s="5" t="s">
        <v>670</v>
      </c>
      <c r="B86" s="138">
        <f>IFERROR(B80*14/B81*1.1,"")</f>
        <v>0</v>
      </c>
    </row>
    <row r="87" spans="1:2">
      <c r="A87" s="5" t="s">
        <v>405</v>
      </c>
      <c r="B87" s="138">
        <f>IFERROR(B80/1.5*0.42*1.4,"")</f>
        <v>0</v>
      </c>
    </row>
    <row r="89" spans="1:2">
      <c r="A89" s="12" t="s">
        <v>611</v>
      </c>
    </row>
    <row r="90" spans="1:2">
      <c r="A90" s="5" t="s">
        <v>671</v>
      </c>
      <c r="B90" s="139" t="s">
        <v>672</v>
      </c>
    </row>
    <row r="91" spans="1:2">
      <c r="A91" s="5" t="s">
        <v>673</v>
      </c>
      <c r="B91" s="139" t="s">
        <v>674</v>
      </c>
    </row>
    <row r="92" spans="1:2">
      <c r="A92" s="5" t="s">
        <v>628</v>
      </c>
      <c r="B92" s="139" t="s">
        <v>675</v>
      </c>
    </row>
    <row r="93" spans="1:2">
      <c r="A93" s="5" t="s">
        <v>676</v>
      </c>
      <c r="B93" s="139" t="s">
        <v>677</v>
      </c>
    </row>
    <row r="94" spans="1:2">
      <c r="A94" s="5" t="s">
        <v>678</v>
      </c>
      <c r="B94" s="139" t="s">
        <v>679</v>
      </c>
    </row>
    <row r="97" spans="1:6">
      <c r="A97" s="217" t="s">
        <v>680</v>
      </c>
      <c r="B97" s="214"/>
      <c r="C97" s="214"/>
      <c r="D97" s="214"/>
      <c r="E97" s="214"/>
      <c r="F97" s="214"/>
    </row>
    <row r="99" spans="1:6" ht="30" customHeight="1">
      <c r="A99" s="227" t="s">
        <v>681</v>
      </c>
      <c r="B99" s="214"/>
      <c r="C99" s="214"/>
      <c r="D99" s="214"/>
      <c r="E99" s="214"/>
      <c r="F99" s="214"/>
    </row>
    <row r="101" spans="1:6">
      <c r="A101" s="12" t="s">
        <v>604</v>
      </c>
    </row>
    <row r="102" spans="1:6">
      <c r="A102" s="5" t="s">
        <v>682</v>
      </c>
      <c r="B102" s="137"/>
    </row>
    <row r="103" spans="1:6">
      <c r="A103" s="5" t="s">
        <v>683</v>
      </c>
      <c r="B103" s="137">
        <v>3</v>
      </c>
    </row>
    <row r="104" spans="1:6">
      <c r="A104" s="5" t="s">
        <v>684</v>
      </c>
      <c r="B104" s="137">
        <v>4.5</v>
      </c>
    </row>
    <row r="106" spans="1:6">
      <c r="A106" s="12" t="s">
        <v>607</v>
      </c>
    </row>
    <row r="107" spans="1:6">
      <c r="A107" s="5" t="s">
        <v>685</v>
      </c>
      <c r="B107" s="138">
        <f>IFERROR(B102*1.8,"")</f>
        <v>0</v>
      </c>
    </row>
    <row r="108" spans="1:6">
      <c r="A108" s="5" t="s">
        <v>140</v>
      </c>
      <c r="B108" s="138">
        <f>IFERROR(B102*2,"")</f>
        <v>0</v>
      </c>
    </row>
    <row r="109" spans="1:6">
      <c r="A109" s="5" t="s">
        <v>686</v>
      </c>
      <c r="B109" s="138">
        <f>IFERROR(B102*0.2,"")</f>
        <v>0</v>
      </c>
    </row>
    <row r="111" spans="1:6">
      <c r="A111" s="12" t="s">
        <v>611</v>
      </c>
    </row>
    <row r="112" spans="1:6">
      <c r="A112" s="5" t="s">
        <v>687</v>
      </c>
      <c r="B112" s="139" t="s">
        <v>688</v>
      </c>
    </row>
    <row r="113" spans="1:6">
      <c r="A113" s="5" t="s">
        <v>689</v>
      </c>
      <c r="B113" s="139" t="s">
        <v>690</v>
      </c>
    </row>
    <row r="114" spans="1:6">
      <c r="A114" s="5" t="s">
        <v>691</v>
      </c>
      <c r="B114" s="139" t="s">
        <v>692</v>
      </c>
    </row>
    <row r="115" spans="1:6">
      <c r="A115" s="5" t="s">
        <v>663</v>
      </c>
      <c r="B115" s="139" t="s">
        <v>693</v>
      </c>
    </row>
    <row r="116" spans="1:6">
      <c r="A116" s="5" t="s">
        <v>678</v>
      </c>
      <c r="B116" s="139" t="s">
        <v>679</v>
      </c>
    </row>
    <row r="119" spans="1:6">
      <c r="A119" s="217" t="s">
        <v>694</v>
      </c>
      <c r="B119" s="214"/>
      <c r="C119" s="214"/>
      <c r="D119" s="214"/>
      <c r="E119" s="214"/>
      <c r="F119" s="214"/>
    </row>
    <row r="121" spans="1:6" ht="30" customHeight="1">
      <c r="A121" s="227" t="s">
        <v>695</v>
      </c>
      <c r="B121" s="214"/>
      <c r="C121" s="214"/>
      <c r="D121" s="214"/>
      <c r="E121" s="214"/>
      <c r="F121" s="214"/>
    </row>
    <row r="123" spans="1:6">
      <c r="A123" s="12" t="s">
        <v>604</v>
      </c>
    </row>
    <row r="124" spans="1:6">
      <c r="A124" s="5" t="s">
        <v>696</v>
      </c>
      <c r="B124" s="137"/>
    </row>
    <row r="126" spans="1:6">
      <c r="A126" s="12" t="s">
        <v>607</v>
      </c>
    </row>
    <row r="127" spans="1:6">
      <c r="A127" s="5" t="s">
        <v>621</v>
      </c>
      <c r="B127" s="138">
        <f>IFERROR(B124*0.3,"")</f>
        <v>0</v>
      </c>
    </row>
    <row r="128" spans="1:6">
      <c r="A128" s="5" t="s">
        <v>608</v>
      </c>
      <c r="B128" s="138">
        <f>IFERROR(B124*0.1,"")</f>
        <v>0</v>
      </c>
    </row>
    <row r="129" spans="1:6">
      <c r="A129" s="5" t="s">
        <v>140</v>
      </c>
      <c r="B129" s="138">
        <f>IFERROR(B124*0.8,"")</f>
        <v>0</v>
      </c>
    </row>
    <row r="130" spans="1:6">
      <c r="A130" s="5" t="s">
        <v>697</v>
      </c>
      <c r="B130" s="138" t="s">
        <v>698</v>
      </c>
    </row>
    <row r="132" spans="1:6">
      <c r="A132" s="12" t="s">
        <v>611</v>
      </c>
    </row>
    <row r="133" spans="1:6">
      <c r="A133" s="5" t="s">
        <v>671</v>
      </c>
      <c r="B133" s="139" t="s">
        <v>699</v>
      </c>
    </row>
    <row r="134" spans="1:6">
      <c r="A134" s="5" t="s">
        <v>657</v>
      </c>
      <c r="B134" s="139" t="s">
        <v>700</v>
      </c>
    </row>
    <row r="135" spans="1:6">
      <c r="A135" s="5" t="s">
        <v>663</v>
      </c>
      <c r="B135" s="139" t="s">
        <v>701</v>
      </c>
    </row>
    <row r="136" spans="1:6">
      <c r="A136" s="5" t="s">
        <v>702</v>
      </c>
      <c r="B136" s="139" t="s">
        <v>703</v>
      </c>
    </row>
    <row r="139" spans="1:6">
      <c r="A139" s="217" t="s">
        <v>704</v>
      </c>
      <c r="B139" s="214"/>
      <c r="C139" s="214"/>
      <c r="D139" s="214"/>
      <c r="E139" s="214"/>
      <c r="F139" s="214"/>
    </row>
    <row r="141" spans="1:6" ht="30" customHeight="1">
      <c r="A141" s="227" t="s">
        <v>705</v>
      </c>
      <c r="B141" s="214"/>
      <c r="C141" s="214"/>
      <c r="D141" s="214"/>
      <c r="E141" s="214"/>
      <c r="F141" s="214"/>
    </row>
    <row r="143" spans="1:6">
      <c r="A143" s="12" t="s">
        <v>604</v>
      </c>
    </row>
    <row r="144" spans="1:6">
      <c r="A144" s="5" t="s">
        <v>706</v>
      </c>
      <c r="B144" s="137"/>
    </row>
    <row r="146" spans="1:6">
      <c r="A146" s="12" t="s">
        <v>607</v>
      </c>
    </row>
    <row r="147" spans="1:6">
      <c r="A147" s="5" t="s">
        <v>707</v>
      </c>
      <c r="B147" s="138">
        <f>IFERROR(B144*1.5,"")</f>
        <v>0</v>
      </c>
    </row>
    <row r="148" spans="1:6">
      <c r="A148" s="5" t="s">
        <v>708</v>
      </c>
      <c r="B148" s="138">
        <f>IFERROR(B144*50,"")</f>
        <v>0</v>
      </c>
    </row>
    <row r="149" spans="1:6">
      <c r="A149" s="5" t="s">
        <v>609</v>
      </c>
      <c r="B149" s="138">
        <f>IFERROR(B144*30,"")</f>
        <v>0</v>
      </c>
    </row>
    <row r="151" spans="1:6">
      <c r="A151" s="12" t="s">
        <v>611</v>
      </c>
    </row>
    <row r="152" spans="1:6">
      <c r="A152" s="5" t="s">
        <v>709</v>
      </c>
      <c r="B152" s="139" t="s">
        <v>710</v>
      </c>
    </row>
    <row r="153" spans="1:6">
      <c r="A153" s="5" t="s">
        <v>711</v>
      </c>
      <c r="B153" s="139" t="s">
        <v>712</v>
      </c>
    </row>
    <row r="154" spans="1:6">
      <c r="A154" s="5" t="s">
        <v>713</v>
      </c>
      <c r="B154" s="139" t="s">
        <v>714</v>
      </c>
    </row>
    <row r="155" spans="1:6">
      <c r="A155" s="5" t="s">
        <v>663</v>
      </c>
      <c r="B155" s="139" t="s">
        <v>715</v>
      </c>
    </row>
    <row r="158" spans="1:6">
      <c r="A158" s="217" t="s">
        <v>716</v>
      </c>
      <c r="B158" s="214"/>
      <c r="C158" s="214"/>
      <c r="D158" s="214"/>
      <c r="E158" s="214"/>
      <c r="F158" s="214"/>
    </row>
    <row r="160" spans="1:6" ht="30" customHeight="1">
      <c r="A160" s="227" t="s">
        <v>717</v>
      </c>
      <c r="B160" s="214"/>
      <c r="C160" s="214"/>
      <c r="D160" s="214"/>
      <c r="E160" s="214"/>
      <c r="F160" s="214"/>
    </row>
    <row r="161" spans="1:6">
      <c r="A161" s="5" t="s">
        <v>718</v>
      </c>
      <c r="B161" s="216" t="s">
        <v>719</v>
      </c>
      <c r="C161" s="214"/>
      <c r="D161" s="214"/>
      <c r="E161" s="214"/>
      <c r="F161" s="214"/>
    </row>
    <row r="162" spans="1:6">
      <c r="A162" s="12" t="s">
        <v>604</v>
      </c>
      <c r="B162" s="216" t="s">
        <v>720</v>
      </c>
      <c r="C162" s="214"/>
      <c r="D162" s="214"/>
      <c r="E162" s="214"/>
      <c r="F162" s="214"/>
    </row>
    <row r="163" spans="1:6">
      <c r="A163" s="5" t="s">
        <v>721</v>
      </c>
      <c r="B163" s="226"/>
      <c r="C163" s="214"/>
      <c r="D163" s="214"/>
      <c r="E163" s="214"/>
      <c r="F163" s="214"/>
    </row>
    <row r="164" spans="1:6">
      <c r="A164" s="5" t="s">
        <v>722</v>
      </c>
      <c r="B164" s="226">
        <v>1</v>
      </c>
      <c r="C164" s="214"/>
      <c r="D164" s="214"/>
      <c r="E164" s="214"/>
      <c r="F164" s="214"/>
    </row>
    <row r="165" spans="1:6">
      <c r="A165" s="5" t="s">
        <v>634</v>
      </c>
      <c r="B165" s="137">
        <v>18</v>
      </c>
    </row>
    <row r="167" spans="1:6">
      <c r="A167" s="12" t="s">
        <v>607</v>
      </c>
    </row>
    <row r="168" spans="1:6">
      <c r="A168" s="5" t="s">
        <v>635</v>
      </c>
      <c r="B168" s="138">
        <f>IFERROR(B163*1/(1+B164),"")</f>
        <v>0</v>
      </c>
    </row>
    <row r="169" spans="1:6">
      <c r="A169" s="5" t="s">
        <v>723</v>
      </c>
      <c r="B169" s="138">
        <f>IFERROR(B168*B164,"")</f>
        <v>0</v>
      </c>
    </row>
    <row r="170" spans="1:6">
      <c r="A170" s="5" t="s">
        <v>724</v>
      </c>
      <c r="B170" s="138">
        <f>IFERROR((B168+B169)*1.5,"")</f>
        <v>0</v>
      </c>
    </row>
    <row r="171" spans="1:6">
      <c r="A171" s="5" t="s">
        <v>636</v>
      </c>
      <c r="B171" s="138">
        <f>IFERROR(B163*2.5*B165/100,"")</f>
        <v>0</v>
      </c>
    </row>
    <row r="172" spans="1:6">
      <c r="A172" s="5" t="s">
        <v>725</v>
      </c>
      <c r="B172" s="138">
        <f>IFERROR(B163*1.5,"")</f>
        <v>0</v>
      </c>
    </row>
    <row r="174" spans="1:6">
      <c r="A174" s="12" t="s">
        <v>726</v>
      </c>
    </row>
    <row r="175" spans="1:6">
      <c r="A175" s="5" t="s">
        <v>727</v>
      </c>
      <c r="B175" s="139" t="s">
        <v>728</v>
      </c>
    </row>
    <row r="176" spans="1:6">
      <c r="A176" s="5" t="s">
        <v>729</v>
      </c>
      <c r="B176" s="139" t="s">
        <v>730</v>
      </c>
    </row>
    <row r="177" spans="1:2">
      <c r="A177" s="5" t="s">
        <v>731</v>
      </c>
      <c r="B177" s="139" t="s">
        <v>732</v>
      </c>
    </row>
    <row r="178" spans="1:2">
      <c r="A178" s="5" t="s">
        <v>733</v>
      </c>
      <c r="B178" s="139" t="s">
        <v>734</v>
      </c>
    </row>
    <row r="179" spans="1:2">
      <c r="A179" s="5" t="s">
        <v>735</v>
      </c>
      <c r="B179" s="139" t="s">
        <v>736</v>
      </c>
    </row>
    <row r="181" spans="1:2">
      <c r="A181" s="12" t="s">
        <v>611</v>
      </c>
    </row>
    <row r="182" spans="1:2">
      <c r="A182" s="5" t="s">
        <v>649</v>
      </c>
      <c r="B182" s="139" t="s">
        <v>737</v>
      </c>
    </row>
    <row r="183" spans="1:2">
      <c r="A183" s="5" t="s">
        <v>651</v>
      </c>
      <c r="B183" s="139" t="s">
        <v>738</v>
      </c>
    </row>
    <row r="184" spans="1:2">
      <c r="A184" s="5" t="s">
        <v>739</v>
      </c>
      <c r="B184" s="139" t="s">
        <v>740</v>
      </c>
    </row>
    <row r="185" spans="1:2">
      <c r="A185" s="5" t="s">
        <v>741</v>
      </c>
      <c r="B185" s="139" t="s">
        <v>742</v>
      </c>
    </row>
    <row r="186" spans="1:2">
      <c r="A186" s="5" t="s">
        <v>743</v>
      </c>
      <c r="B186" s="139" t="s">
        <v>744</v>
      </c>
    </row>
    <row r="187" spans="1:2">
      <c r="A187" s="5" t="s">
        <v>745</v>
      </c>
      <c r="B187" s="139" t="s">
        <v>746</v>
      </c>
    </row>
    <row r="188" spans="1:2">
      <c r="A188" s="5" t="s">
        <v>747</v>
      </c>
      <c r="B188" s="139" t="s">
        <v>748</v>
      </c>
    </row>
    <row r="189" spans="1:2">
      <c r="A189" s="5" t="s">
        <v>676</v>
      </c>
      <c r="B189" s="139" t="s">
        <v>749</v>
      </c>
    </row>
    <row r="190" spans="1:2">
      <c r="A190" s="5" t="s">
        <v>750</v>
      </c>
      <c r="B190" s="139" t="s">
        <v>751</v>
      </c>
    </row>
    <row r="193" spans="1:6">
      <c r="A193" s="217" t="s">
        <v>752</v>
      </c>
      <c r="B193" s="214"/>
      <c r="C193" s="214"/>
      <c r="D193" s="214"/>
      <c r="E193" s="214"/>
      <c r="F193" s="214"/>
    </row>
    <row r="195" spans="1:6" ht="30" customHeight="1">
      <c r="A195" s="227" t="s">
        <v>753</v>
      </c>
      <c r="B195" s="214"/>
      <c r="C195" s="214"/>
      <c r="D195" s="214"/>
      <c r="E195" s="214"/>
      <c r="F195" s="214"/>
    </row>
    <row r="197" spans="1:6">
      <c r="A197" s="12" t="s">
        <v>604</v>
      </c>
    </row>
    <row r="198" spans="1:6">
      <c r="A198" s="5" t="s">
        <v>754</v>
      </c>
      <c r="B198" s="137"/>
    </row>
    <row r="199" spans="1:6">
      <c r="A199" s="5" t="s">
        <v>634</v>
      </c>
      <c r="B199" s="137">
        <v>16</v>
      </c>
    </row>
    <row r="201" spans="1:6">
      <c r="A201" s="12" t="s">
        <v>607</v>
      </c>
    </row>
    <row r="202" spans="1:6">
      <c r="A202" s="5" t="s">
        <v>635</v>
      </c>
      <c r="B202" s="138">
        <f>IFERROR(B198*1.8,"")</f>
        <v>0</v>
      </c>
    </row>
    <row r="203" spans="1:6">
      <c r="A203" s="5" t="s">
        <v>724</v>
      </c>
      <c r="B203" s="138">
        <f>IFERROR(B202*1.5,"")</f>
        <v>0</v>
      </c>
    </row>
    <row r="204" spans="1:6">
      <c r="A204" s="5" t="s">
        <v>636</v>
      </c>
      <c r="B204" s="138">
        <f>IFERROR(B198*2.8*B199/100,"")</f>
        <v>0</v>
      </c>
    </row>
    <row r="205" spans="1:6">
      <c r="A205" s="5" t="s">
        <v>725</v>
      </c>
      <c r="B205" s="138">
        <f>IFERROR(B198*1.2,"")</f>
        <v>0</v>
      </c>
    </row>
    <row r="207" spans="1:6">
      <c r="A207" s="12" t="s">
        <v>611</v>
      </c>
    </row>
    <row r="208" spans="1:6">
      <c r="A208" s="5" t="s">
        <v>755</v>
      </c>
      <c r="B208" s="139" t="s">
        <v>756</v>
      </c>
    </row>
    <row r="209" spans="1:6">
      <c r="A209" s="5" t="s">
        <v>757</v>
      </c>
      <c r="B209" s="139" t="s">
        <v>758</v>
      </c>
    </row>
    <row r="210" spans="1:6">
      <c r="A210" s="5" t="s">
        <v>743</v>
      </c>
      <c r="B210" s="139" t="s">
        <v>759</v>
      </c>
    </row>
    <row r="211" spans="1:6">
      <c r="A211" s="5" t="s">
        <v>663</v>
      </c>
      <c r="B211" s="139" t="s">
        <v>760</v>
      </c>
    </row>
    <row r="212" spans="1:6">
      <c r="A212" s="5" t="s">
        <v>761</v>
      </c>
      <c r="B212" s="139" t="s">
        <v>762</v>
      </c>
    </row>
    <row r="215" spans="1:6">
      <c r="A215" s="217" t="s">
        <v>763</v>
      </c>
      <c r="B215" s="214"/>
      <c r="C215" s="214"/>
      <c r="D215" s="214"/>
      <c r="E215" s="214"/>
      <c r="F215" s="214"/>
    </row>
    <row r="217" spans="1:6">
      <c r="A217" s="5" t="s">
        <v>764</v>
      </c>
      <c r="B217" s="216" t="s">
        <v>765</v>
      </c>
      <c r="C217" s="214"/>
      <c r="D217" s="214"/>
      <c r="E217" s="214"/>
      <c r="F217" s="214"/>
    </row>
    <row r="218" spans="1:6">
      <c r="A218" s="5" t="s">
        <v>718</v>
      </c>
      <c r="B218" s="216" t="s">
        <v>719</v>
      </c>
      <c r="C218" s="214"/>
      <c r="D218" s="214"/>
      <c r="E218" s="214"/>
      <c r="F218" s="214"/>
    </row>
    <row r="219" spans="1:6">
      <c r="A219" s="5" t="s">
        <v>766</v>
      </c>
      <c r="B219" s="216" t="s">
        <v>720</v>
      </c>
      <c r="C219" s="214"/>
      <c r="D219" s="214"/>
      <c r="E219" s="214"/>
      <c r="F219" s="214"/>
    </row>
    <row r="220" spans="1:6">
      <c r="A220" s="5" t="s">
        <v>767</v>
      </c>
      <c r="B220" s="216" t="s">
        <v>768</v>
      </c>
      <c r="C220" s="214"/>
      <c r="D220" s="214"/>
      <c r="E220" s="214"/>
      <c r="F220" s="214"/>
    </row>
    <row r="221" spans="1:6">
      <c r="A221" s="5" t="s">
        <v>769</v>
      </c>
      <c r="B221" s="216" t="s">
        <v>770</v>
      </c>
      <c r="C221" s="214"/>
      <c r="D221" s="214"/>
      <c r="E221" s="214"/>
      <c r="F221" s="214"/>
    </row>
    <row r="222" spans="1:6">
      <c r="A222" s="5" t="s">
        <v>771</v>
      </c>
      <c r="B222" s="216" t="s">
        <v>772</v>
      </c>
      <c r="C222" s="214"/>
      <c r="D222" s="214"/>
      <c r="E222" s="214"/>
      <c r="F222" s="214"/>
    </row>
  </sheetData>
  <mergeCells count="29">
    <mergeCell ref="A75:F75"/>
    <mergeCell ref="A158:F158"/>
    <mergeCell ref="A139:F139"/>
    <mergeCell ref="A44:F44"/>
    <mergeCell ref="B217:F217"/>
    <mergeCell ref="A77:F77"/>
    <mergeCell ref="B164:F164"/>
    <mergeCell ref="A3:F3"/>
    <mergeCell ref="A195:F195"/>
    <mergeCell ref="A160:F160"/>
    <mergeCell ref="A42:F42"/>
    <mergeCell ref="B161:F161"/>
    <mergeCell ref="A5:F5"/>
    <mergeCell ref="A141:F141"/>
    <mergeCell ref="A22:F22"/>
    <mergeCell ref="A97:F97"/>
    <mergeCell ref="A215:F215"/>
    <mergeCell ref="A24:F24"/>
    <mergeCell ref="A99:F99"/>
    <mergeCell ref="B222:F222"/>
    <mergeCell ref="A119:F119"/>
    <mergeCell ref="B163:F163"/>
    <mergeCell ref="B221:F221"/>
    <mergeCell ref="B162:F162"/>
    <mergeCell ref="A121:F121"/>
    <mergeCell ref="B220:F220"/>
    <mergeCell ref="B219:F219"/>
    <mergeCell ref="B218:F218"/>
    <mergeCell ref="A193:F193"/>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0"/>
  <sheetViews>
    <sheetView zoomScale="120" workbookViewId="0"/>
  </sheetViews>
  <sheetFormatPr baseColWidth="10" defaultColWidth="8.83203125" defaultRowHeight="15"/>
  <cols>
    <col min="1" max="1" width="22" customWidth="1"/>
    <col min="2" max="2" width="14" customWidth="1"/>
    <col min="3" max="3" width="10" customWidth="1"/>
    <col min="4" max="4" width="14" customWidth="1"/>
  </cols>
  <sheetData>
    <row r="1" spans="1:7" ht="19" customHeight="1">
      <c r="A1" s="140" t="s">
        <v>773</v>
      </c>
    </row>
    <row r="3" spans="1:7">
      <c r="A3" s="221" t="s">
        <v>774</v>
      </c>
      <c r="B3" s="214"/>
      <c r="C3" s="214"/>
      <c r="D3" s="214"/>
      <c r="E3" s="214"/>
      <c r="F3" s="214"/>
      <c r="G3" s="214"/>
    </row>
    <row r="4" spans="1:7">
      <c r="A4" s="141" t="s">
        <v>775</v>
      </c>
      <c r="B4" s="142">
        <v>10</v>
      </c>
      <c r="C4" s="141" t="s">
        <v>776</v>
      </c>
      <c r="D4" s="1" t="s">
        <v>777</v>
      </c>
    </row>
    <row r="5" spans="1:7">
      <c r="A5" t="s">
        <v>778</v>
      </c>
      <c r="B5" s="125">
        <v>3</v>
      </c>
      <c r="C5" t="s">
        <v>779</v>
      </c>
      <c r="D5" t="s">
        <v>780</v>
      </c>
    </row>
    <row r="6" spans="1:7">
      <c r="A6" t="s">
        <v>781</v>
      </c>
      <c r="B6" s="125">
        <v>10</v>
      </c>
      <c r="C6" t="s">
        <v>776</v>
      </c>
      <c r="D6" t="s">
        <v>782</v>
      </c>
    </row>
    <row r="7" spans="1:7">
      <c r="A7" t="s">
        <v>783</v>
      </c>
      <c r="B7" s="125"/>
      <c r="C7" t="s">
        <v>779</v>
      </c>
      <c r="D7" t="s">
        <v>784</v>
      </c>
    </row>
    <row r="8" spans="1:7">
      <c r="A8" t="s">
        <v>785</v>
      </c>
      <c r="B8" s="125">
        <v>15</v>
      </c>
      <c r="C8" t="s">
        <v>776</v>
      </c>
      <c r="D8" t="s">
        <v>786</v>
      </c>
    </row>
    <row r="9" spans="1:7">
      <c r="A9" t="s">
        <v>787</v>
      </c>
      <c r="B9" s="84">
        <f>IFERROR(IF(OR(B4="",B6="",B8=""),"",MAX(ABS(B4-B8),ABS(B6-B8))),"")</f>
        <v>5</v>
      </c>
      <c r="C9" t="s">
        <v>788</v>
      </c>
      <c r="D9" s="84" t="str">
        <f>IFERROR(IF(B9="","",IF(B9&gt;10,"⚠ HIGH - grains will crack!",IF(B9&gt;5,"Caution - handle gently","OK - safe"))),"")</f>
        <v>OK - safe</v>
      </c>
    </row>
    <row r="10" spans="1:7">
      <c r="A10" s="141" t="s">
        <v>789</v>
      </c>
      <c r="B10" s="22" t="s">
        <v>107</v>
      </c>
    </row>
    <row r="11" spans="1:7">
      <c r="A11" s="141" t="s">
        <v>239</v>
      </c>
      <c r="B11" s="74" t="str">
        <f>IFERROR(IF(B10="Lot A",IF(Recipe!C11="","→ See Recipe",Recipe!C11),IF(B10="Lot B",IF(Recipe!C12="","→ See Recipe",Recipe!C12),IF(B10="Lot C",IF(Recipe!C13="","→ See Recipe",Recipe!C13),IF(B10="Lot D",IF(Recipe!C14="","→ See Recipe",Recipe!C14),"→ See Recipe")))),"→ See Recipe")</f>
        <v>→ See Recipe</v>
      </c>
      <c r="C11" s="141" t="s">
        <v>113</v>
      </c>
    </row>
    <row r="12" spans="1:7">
      <c r="A12" s="141" t="s">
        <v>104</v>
      </c>
      <c r="B12" s="74" t="str">
        <f>IFERROR(IF(B10="Lot A",IF(OR(Recipe!B11="",Recipe!B11="Select ▽"),"→ See Recipe",Recipe!B11),IF(B10="Lot B",IF(OR(Recipe!B12="",Recipe!B12="Select ▽"),"→ See Recipe",Recipe!B12),IF(B10="Lot C",IF(OR(Recipe!B13="",Recipe!B13="Select ▽"),"→ See Recipe",Recipe!B13),IF(B10="Lot D",IF(OR(Recipe!B14="",Recipe!B14="Select ▽"),"→ See Recipe",Recipe!B14),"→ See Recipe")))),"→ See Recipe")</f>
        <v>→ See Recipe</v>
      </c>
    </row>
    <row r="14" spans="1:7">
      <c r="A14" s="221" t="s">
        <v>790</v>
      </c>
      <c r="B14" s="214"/>
      <c r="C14" s="214"/>
      <c r="D14" s="214"/>
      <c r="E14" s="214"/>
      <c r="F14" s="214"/>
      <c r="G14" s="214"/>
    </row>
    <row r="15" spans="1:7">
      <c r="A15" s="141" t="s">
        <v>791</v>
      </c>
      <c r="B15" s="74" t="str">
        <f>IFERROR(IF(B11="","",IF(B11&gt;=85,ROUND(90+(100-B11)*3,0),IF(B11&gt;=70,ROUND(30+(85-B11)*2,0),IF(B11&gt;=60,ROUND(10+(70-B11)*2,0),IF(B11&gt;=50,ROUND(8+(60-B11)*0.4,0),IF(B11&gt;=40,ROUND(4+(50-B11)*0.4,0),ROUND(1+(40-B11)*0.3,0))))))),"—")</f>
        <v>—</v>
      </c>
      <c r="C15" s="141" t="s">
        <v>779</v>
      </c>
    </row>
    <row r="16" spans="1:7">
      <c r="A16" s="141" t="s">
        <v>792</v>
      </c>
      <c r="B16" s="74">
        <f>IFERROR(IF(OR(B6="",B11=""),"",ROUND((15-B6)*0.5,1)),"—")</f>
        <v>2.5</v>
      </c>
      <c r="C16" s="141" t="s">
        <v>779</v>
      </c>
      <c r="D16" s="1" t="s">
        <v>793</v>
      </c>
    </row>
    <row r="17" spans="1:7">
      <c r="A17" s="141" t="s">
        <v>794</v>
      </c>
      <c r="B17" s="143" t="str">
        <f>IFERROR(IF(B15="","",MAX(1,ROUND(B15+B16,0))),"—")</f>
        <v>—</v>
      </c>
      <c r="C17" s="141" t="s">
        <v>779</v>
      </c>
      <c r="D17" s="84" t="str">
        <f>IFERROR(IF(OR(B7="",B17=""),"",IF(B7&gt;B17*1.2,"⚠ Over-soaked!",IF(B7&lt;B17*0.8,"⚠ Under-soaked","✓ Good"))),"")</f>
        <v/>
      </c>
    </row>
    <row r="18" spans="1:7">
      <c r="A18" s="141" t="s">
        <v>795</v>
      </c>
      <c r="B18" s="74" t="str">
        <f>IFERROR(IF(B11="","",ROUND(34-(100-B11)*0.15,0)),"—")</f>
        <v>—</v>
      </c>
      <c r="C18" s="141" t="s">
        <v>113</v>
      </c>
      <c r="D18" s="1" t="s">
        <v>796</v>
      </c>
    </row>
    <row r="19" spans="1:7">
      <c r="A19" s="141" t="s">
        <v>797</v>
      </c>
      <c r="B19" s="125">
        <v>60</v>
      </c>
      <c r="C19" s="141" t="s">
        <v>779</v>
      </c>
      <c r="D19" s="1" t="s">
        <v>798</v>
      </c>
    </row>
    <row r="20" spans="1:7">
      <c r="A20" t="s">
        <v>799</v>
      </c>
      <c r="B20" s="84" t="str">
        <f>IFERROR(IF(B4="","",IF(B4&lt;10,"Low",IF(B4&lt;15,"Moderate","Good"))),"—")</f>
        <v>Moderate</v>
      </c>
      <c r="D20" t="s">
        <v>800</v>
      </c>
    </row>
    <row r="21" spans="1:7">
      <c r="A21" s="217" t="s">
        <v>801</v>
      </c>
      <c r="B21" s="214"/>
      <c r="C21" s="214"/>
      <c r="D21" s="214"/>
      <c r="E21" s="214"/>
      <c r="F21" s="214"/>
      <c r="G21" s="214"/>
    </row>
    <row r="22" spans="1:7">
      <c r="A22" s="144" t="s">
        <v>802</v>
      </c>
      <c r="B22" s="144" t="s">
        <v>803</v>
      </c>
      <c r="C22" s="144" t="s">
        <v>804</v>
      </c>
      <c r="D22" s="144" t="s">
        <v>805</v>
      </c>
    </row>
    <row r="23" spans="1:7">
      <c r="A23" t="s">
        <v>806</v>
      </c>
      <c r="B23" t="s">
        <v>807</v>
      </c>
      <c r="C23" t="s">
        <v>808</v>
      </c>
      <c r="D23" t="s">
        <v>809</v>
      </c>
    </row>
    <row r="24" spans="1:7">
      <c r="A24" t="s">
        <v>810</v>
      </c>
      <c r="B24" t="s">
        <v>811</v>
      </c>
      <c r="C24" t="s">
        <v>812</v>
      </c>
      <c r="D24" t="s">
        <v>813</v>
      </c>
    </row>
    <row r="25" spans="1:7">
      <c r="A25" t="s">
        <v>814</v>
      </c>
      <c r="B25" t="s">
        <v>815</v>
      </c>
      <c r="C25" t="s">
        <v>816</v>
      </c>
      <c r="D25" t="s">
        <v>817</v>
      </c>
    </row>
    <row r="26" spans="1:7">
      <c r="A26" t="s">
        <v>818</v>
      </c>
      <c r="B26" t="s">
        <v>815</v>
      </c>
      <c r="C26" t="s">
        <v>819</v>
      </c>
      <c r="D26" t="s">
        <v>820</v>
      </c>
    </row>
    <row r="27" spans="1:7">
      <c r="A27" t="s">
        <v>821</v>
      </c>
      <c r="B27" t="s">
        <v>822</v>
      </c>
      <c r="C27" t="s">
        <v>823</v>
      </c>
      <c r="D27" t="s">
        <v>824</v>
      </c>
    </row>
    <row r="28" spans="1:7">
      <c r="A28" s="228" t="s">
        <v>825</v>
      </c>
      <c r="B28" s="214"/>
      <c r="C28" s="214"/>
      <c r="D28" s="214"/>
      <c r="E28" s="214"/>
      <c r="F28" s="214"/>
      <c r="G28" s="214"/>
    </row>
    <row r="29" spans="1:7">
      <c r="A29" s="214" t="s">
        <v>826</v>
      </c>
      <c r="B29" s="214"/>
      <c r="C29" s="214"/>
      <c r="D29" s="214"/>
      <c r="E29" s="214"/>
      <c r="F29" s="214"/>
      <c r="G29" s="214"/>
    </row>
    <row r="30" spans="1:7">
      <c r="A30" s="214" t="s">
        <v>827</v>
      </c>
      <c r="B30" s="214"/>
      <c r="C30" s="214"/>
      <c r="D30" s="214"/>
      <c r="E30" s="214"/>
      <c r="F30" s="214"/>
      <c r="G30" s="214"/>
    </row>
    <row r="31" spans="1:7">
      <c r="A31" s="221" t="s">
        <v>828</v>
      </c>
      <c r="B31" s="214"/>
      <c r="C31" s="214"/>
      <c r="D31" s="214"/>
      <c r="E31" s="214"/>
      <c r="F31" s="214"/>
      <c r="G31" s="214"/>
    </row>
    <row r="32" spans="1:7">
      <c r="A32" s="144" t="s">
        <v>829</v>
      </c>
      <c r="B32" s="144" t="s">
        <v>830</v>
      </c>
      <c r="C32" s="144" t="s">
        <v>831</v>
      </c>
      <c r="D32" s="144" t="s">
        <v>832</v>
      </c>
      <c r="E32" s="144" t="s">
        <v>833</v>
      </c>
    </row>
    <row r="33" spans="1:7">
      <c r="A33" s="106">
        <v>90</v>
      </c>
      <c r="B33" t="s">
        <v>834</v>
      </c>
      <c r="C33" t="s">
        <v>835</v>
      </c>
      <c r="D33" t="s">
        <v>836</v>
      </c>
      <c r="E33" t="s">
        <v>837</v>
      </c>
    </row>
    <row r="34" spans="1:7">
      <c r="A34" s="106">
        <v>80</v>
      </c>
      <c r="B34" t="s">
        <v>838</v>
      </c>
      <c r="C34" t="s">
        <v>839</v>
      </c>
      <c r="D34" t="s">
        <v>840</v>
      </c>
      <c r="E34" t="s">
        <v>841</v>
      </c>
    </row>
    <row r="35" spans="1:7">
      <c r="A35" s="106">
        <v>70</v>
      </c>
      <c r="B35" t="s">
        <v>842</v>
      </c>
      <c r="C35" t="s">
        <v>843</v>
      </c>
      <c r="D35" t="s">
        <v>844</v>
      </c>
      <c r="E35" t="s">
        <v>841</v>
      </c>
    </row>
    <row r="36" spans="1:7">
      <c r="A36" s="106">
        <v>60</v>
      </c>
      <c r="B36" t="s">
        <v>845</v>
      </c>
      <c r="C36" t="s">
        <v>846</v>
      </c>
      <c r="D36" t="s">
        <v>847</v>
      </c>
      <c r="E36" t="s">
        <v>848</v>
      </c>
    </row>
    <row r="37" spans="1:7">
      <c r="A37" s="106">
        <v>50</v>
      </c>
      <c r="B37" t="s">
        <v>849</v>
      </c>
      <c r="C37" t="s">
        <v>850</v>
      </c>
      <c r="D37" t="s">
        <v>851</v>
      </c>
      <c r="E37" t="s">
        <v>852</v>
      </c>
    </row>
    <row r="38" spans="1:7">
      <c r="A38" s="106">
        <v>40</v>
      </c>
      <c r="B38" t="s">
        <v>853</v>
      </c>
      <c r="C38" t="s">
        <v>854</v>
      </c>
      <c r="D38" t="s">
        <v>855</v>
      </c>
      <c r="E38" t="s">
        <v>856</v>
      </c>
    </row>
    <row r="39" spans="1:7">
      <c r="A39" s="106">
        <v>35</v>
      </c>
      <c r="B39" t="s">
        <v>857</v>
      </c>
      <c r="C39" t="s">
        <v>858</v>
      </c>
      <c r="D39" t="s">
        <v>859</v>
      </c>
      <c r="E39" t="s">
        <v>860</v>
      </c>
    </row>
    <row r="41" spans="1:7">
      <c r="A41" s="221" t="s">
        <v>861</v>
      </c>
      <c r="B41" s="214"/>
      <c r="C41" s="214"/>
      <c r="D41" s="214"/>
      <c r="E41" s="214"/>
      <c r="F41" s="214"/>
      <c r="G41" s="214"/>
    </row>
    <row r="42" spans="1:7">
      <c r="A42" s="144" t="s">
        <v>20</v>
      </c>
      <c r="B42" s="144" t="s">
        <v>862</v>
      </c>
      <c r="C42" s="144" t="s">
        <v>863</v>
      </c>
      <c r="D42" s="144" t="s">
        <v>864</v>
      </c>
      <c r="E42" s="144" t="s">
        <v>865</v>
      </c>
      <c r="F42" s="144" t="s">
        <v>184</v>
      </c>
      <c r="G42" s="144" t="s">
        <v>207</v>
      </c>
    </row>
    <row r="43" spans="1:7">
      <c r="A43">
        <v>1</v>
      </c>
      <c r="B43" s="145"/>
      <c r="C43" s="145"/>
      <c r="D43" s="74" t="str">
        <f t="shared" ref="D43:D50" si="0">IFERROR(IF(B43="","",ROUND((C43-B43)/B43*100,1)),"")</f>
        <v/>
      </c>
      <c r="E43" s="145"/>
      <c r="F43" s="74" t="str">
        <f t="shared" ref="F43:F50" si="1">IFERROR(IF(D43="","",IF(ABS(D43-$B$18)&lt;=2,"OK",IF(D43&lt;$B$18,"Under","Over"))),"")</f>
        <v/>
      </c>
      <c r="G43" s="146"/>
    </row>
    <row r="44" spans="1:7">
      <c r="A44">
        <v>2</v>
      </c>
      <c r="B44" s="145"/>
      <c r="C44" s="145"/>
      <c r="D44" s="74" t="str">
        <f t="shared" si="0"/>
        <v/>
      </c>
      <c r="E44" s="145"/>
      <c r="F44" s="74" t="str">
        <f t="shared" si="1"/>
        <v/>
      </c>
      <c r="G44" s="146"/>
    </row>
    <row r="45" spans="1:7">
      <c r="A45">
        <v>3</v>
      </c>
      <c r="B45" s="145"/>
      <c r="C45" s="145"/>
      <c r="D45" s="74" t="str">
        <f t="shared" si="0"/>
        <v/>
      </c>
      <c r="E45" s="145"/>
      <c r="F45" s="74" t="str">
        <f t="shared" si="1"/>
        <v/>
      </c>
      <c r="G45" s="146"/>
    </row>
    <row r="46" spans="1:7">
      <c r="A46">
        <v>4</v>
      </c>
      <c r="B46" s="145"/>
      <c r="C46" s="145"/>
      <c r="D46" s="74" t="str">
        <f t="shared" si="0"/>
        <v/>
      </c>
      <c r="E46" s="145"/>
      <c r="F46" s="74" t="str">
        <f t="shared" si="1"/>
        <v/>
      </c>
      <c r="G46" s="146"/>
    </row>
    <row r="47" spans="1:7">
      <c r="A47">
        <v>5</v>
      </c>
      <c r="B47" s="145"/>
      <c r="C47" s="145"/>
      <c r="D47" s="74" t="str">
        <f t="shared" si="0"/>
        <v/>
      </c>
      <c r="E47" s="145"/>
      <c r="F47" s="74" t="str">
        <f t="shared" si="1"/>
        <v/>
      </c>
      <c r="G47" s="146"/>
    </row>
    <row r="48" spans="1:7">
      <c r="A48">
        <v>6</v>
      </c>
      <c r="B48" s="145"/>
      <c r="C48" s="145"/>
      <c r="D48" s="74" t="str">
        <f t="shared" si="0"/>
        <v/>
      </c>
      <c r="E48" s="145"/>
      <c r="F48" s="74" t="str">
        <f t="shared" si="1"/>
        <v/>
      </c>
      <c r="G48" s="146"/>
    </row>
    <row r="49" spans="1:7">
      <c r="A49">
        <v>7</v>
      </c>
      <c r="B49" s="145"/>
      <c r="C49" s="145"/>
      <c r="D49" s="74" t="str">
        <f t="shared" si="0"/>
        <v/>
      </c>
      <c r="E49" s="145"/>
      <c r="F49" s="74" t="str">
        <f t="shared" si="1"/>
        <v/>
      </c>
      <c r="G49" s="146"/>
    </row>
    <row r="50" spans="1:7">
      <c r="A50">
        <v>8</v>
      </c>
      <c r="B50" s="145"/>
      <c r="C50" s="145"/>
      <c r="D50" s="74" t="str">
        <f t="shared" si="0"/>
        <v/>
      </c>
      <c r="E50" s="145"/>
      <c r="F50" s="74" t="str">
        <f t="shared" si="1"/>
        <v/>
      </c>
      <c r="G50" s="146"/>
    </row>
    <row r="53" spans="1:7">
      <c r="A53" s="221" t="s">
        <v>866</v>
      </c>
      <c r="B53" s="214"/>
      <c r="C53" s="214"/>
      <c r="D53" s="214"/>
      <c r="E53" s="214"/>
      <c r="F53" s="214"/>
      <c r="G53" s="214"/>
    </row>
    <row r="54" spans="1:7">
      <c r="A54" s="214" t="s">
        <v>867</v>
      </c>
      <c r="B54" s="214"/>
      <c r="C54" s="214"/>
      <c r="D54" s="214"/>
      <c r="E54" s="214"/>
      <c r="F54" s="214"/>
      <c r="G54" s="214"/>
    </row>
    <row r="55" spans="1:7">
      <c r="A55" s="214" t="s">
        <v>868</v>
      </c>
      <c r="B55" s="214"/>
      <c r="C55" s="214"/>
      <c r="D55" s="214"/>
      <c r="E55" s="214"/>
      <c r="F55" s="214"/>
      <c r="G55" s="214"/>
    </row>
    <row r="56" spans="1:7">
      <c r="A56" s="214" t="s">
        <v>869</v>
      </c>
      <c r="B56" s="214"/>
      <c r="C56" s="214"/>
      <c r="D56" s="214"/>
      <c r="E56" s="214"/>
      <c r="F56" s="214"/>
      <c r="G56" s="214"/>
    </row>
    <row r="57" spans="1:7">
      <c r="A57" s="214" t="s">
        <v>870</v>
      </c>
      <c r="B57" s="214"/>
      <c r="C57" s="214"/>
      <c r="D57" s="214"/>
      <c r="E57" s="214"/>
      <c r="F57" s="214"/>
      <c r="G57" s="214"/>
    </row>
    <row r="58" spans="1:7">
      <c r="A58" s="214" t="s">
        <v>871</v>
      </c>
      <c r="B58" s="214"/>
      <c r="C58" s="214"/>
      <c r="D58" s="214"/>
      <c r="E58" s="214"/>
      <c r="F58" s="214"/>
      <c r="G58" s="214"/>
    </row>
    <row r="59" spans="1:7">
      <c r="A59" s="214" t="s">
        <v>872</v>
      </c>
      <c r="B59" s="214"/>
      <c r="C59" s="214"/>
      <c r="D59" s="214"/>
      <c r="E59" s="214"/>
      <c r="F59" s="214"/>
      <c r="G59" s="214"/>
    </row>
    <row r="60" spans="1:7">
      <c r="A60" s="214" t="s">
        <v>873</v>
      </c>
      <c r="B60" s="214"/>
      <c r="C60" s="214"/>
      <c r="D60" s="214"/>
      <c r="E60" s="214"/>
      <c r="F60" s="214"/>
      <c r="G60" s="214"/>
    </row>
  </sheetData>
  <mergeCells count="16">
    <mergeCell ref="A3:G3"/>
    <mergeCell ref="A21:G21"/>
    <mergeCell ref="A53:G53"/>
    <mergeCell ref="A55:G55"/>
    <mergeCell ref="A57:G57"/>
    <mergeCell ref="A30:G30"/>
    <mergeCell ref="A54:G54"/>
    <mergeCell ref="A29:G29"/>
    <mergeCell ref="A59:G59"/>
    <mergeCell ref="A60:G60"/>
    <mergeCell ref="A41:G41"/>
    <mergeCell ref="A28:G28"/>
    <mergeCell ref="A14:G14"/>
    <mergeCell ref="A58:G58"/>
    <mergeCell ref="A56:G56"/>
    <mergeCell ref="A31:G31"/>
  </mergeCells>
  <dataValidations count="1">
    <dataValidation type="list" allowBlank="1" sqref="B10" xr:uid="{00000000-0002-0000-0500-000000000000}">
      <formula1>"Select,Lot A,Lot B,Lot C,Lot D"</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zoomScale="120" workbookViewId="0"/>
  </sheetViews>
  <sheetFormatPr baseColWidth="10" defaultColWidth="8.83203125" defaultRowHeight="15"/>
  <cols>
    <col min="1" max="1" width="32" customWidth="1"/>
    <col min="2" max="2" width="14" customWidth="1"/>
    <col min="3" max="3" width="12" customWidth="1"/>
    <col min="4" max="4" width="50" customWidth="1"/>
  </cols>
  <sheetData>
    <row r="1" spans="1:4" ht="18" customHeight="1">
      <c r="A1" s="136" t="s">
        <v>874</v>
      </c>
      <c r="B1" s="32"/>
      <c r="C1" s="32"/>
      <c r="D1" s="32"/>
    </row>
    <row r="2" spans="1:4" ht="18" customHeight="1">
      <c r="A2" s="32"/>
      <c r="B2" s="32"/>
      <c r="C2" s="32"/>
      <c r="D2" s="32"/>
    </row>
    <row r="3" spans="1:4" ht="21.75" customHeight="1">
      <c r="A3" s="147" t="s">
        <v>604</v>
      </c>
      <c r="B3" s="148" t="s">
        <v>875</v>
      </c>
      <c r="C3" s="147" t="s">
        <v>876</v>
      </c>
      <c r="D3" s="147" t="s">
        <v>207</v>
      </c>
    </row>
    <row r="4" spans="1:4" ht="18" customHeight="1">
      <c r="A4" s="149" t="s">
        <v>877</v>
      </c>
      <c r="B4" s="150">
        <f>IF(Recipe!B56="",0,Recipe!B56)</f>
        <v>10.048500000000001</v>
      </c>
      <c r="C4" s="151" t="s">
        <v>878</v>
      </c>
      <c r="D4" s="151" t="s">
        <v>879</v>
      </c>
    </row>
    <row r="5" spans="1:4" ht="18" customHeight="1">
      <c r="A5" s="149" t="s">
        <v>880</v>
      </c>
      <c r="B5" s="152">
        <f>_Constants!B10</f>
        <v>10</v>
      </c>
      <c r="C5" s="153" t="s">
        <v>881</v>
      </c>
      <c r="D5" s="153" t="s">
        <v>882</v>
      </c>
    </row>
    <row r="6" spans="1:4" ht="18" customHeight="1">
      <c r="A6" s="149" t="s">
        <v>883</v>
      </c>
      <c r="B6" s="150">
        <f>_Constants!B11</f>
        <v>10000000000</v>
      </c>
      <c r="C6" s="151" t="s">
        <v>884</v>
      </c>
      <c r="D6" s="151" t="s">
        <v>885</v>
      </c>
    </row>
    <row r="7" spans="1:4" ht="18" customHeight="1">
      <c r="A7" s="149" t="s">
        <v>886</v>
      </c>
      <c r="B7" s="152">
        <f>_Constants!B12</f>
        <v>100000000</v>
      </c>
      <c r="C7" s="153" t="s">
        <v>887</v>
      </c>
      <c r="D7" s="153" t="s">
        <v>888</v>
      </c>
    </row>
    <row r="8" spans="1:4" ht="18" customHeight="1">
      <c r="A8" s="149" t="s">
        <v>889</v>
      </c>
      <c r="B8" s="150">
        <f>_Constants!B13</f>
        <v>100</v>
      </c>
      <c r="C8" s="151" t="s">
        <v>890</v>
      </c>
      <c r="D8" s="151" t="s">
        <v>891</v>
      </c>
    </row>
    <row r="9" spans="1:4" ht="18" customHeight="1">
      <c r="A9" s="154"/>
      <c r="B9" s="155"/>
      <c r="C9" s="32"/>
      <c r="D9" s="32"/>
    </row>
    <row r="10" spans="1:4" ht="18" customHeight="1">
      <c r="A10" s="156" t="s">
        <v>892</v>
      </c>
      <c r="B10" s="156"/>
      <c r="C10" s="3"/>
      <c r="D10" s="3"/>
    </row>
    <row r="11" spans="1:4" ht="18" customHeight="1">
      <c r="A11" s="149" t="s">
        <v>893</v>
      </c>
      <c r="B11" s="152">
        <f>IF(B4="","",B4*1000*B5*1000000)</f>
        <v>100485000000</v>
      </c>
      <c r="C11" s="153" t="s">
        <v>894</v>
      </c>
      <c r="D11" s="153" t="s">
        <v>895</v>
      </c>
    </row>
    <row r="12" spans="1:4" ht="18" customHeight="1">
      <c r="A12" s="149" t="s">
        <v>896</v>
      </c>
      <c r="B12" s="150">
        <f>IF(B6&gt;0,IF(B11="","",B11/B6),"")</f>
        <v>10.048500000000001</v>
      </c>
      <c r="C12" s="151" t="s">
        <v>897</v>
      </c>
      <c r="D12" s="151" t="s">
        <v>898</v>
      </c>
    </row>
    <row r="13" spans="1:4" ht="18" customHeight="1">
      <c r="A13" s="149" t="s">
        <v>899</v>
      </c>
      <c r="B13" s="152">
        <f>IF(B7&gt;0,IF(B11="","",B11/B7),"")</f>
        <v>1004.85</v>
      </c>
      <c r="C13" s="153" t="s">
        <v>890</v>
      </c>
      <c r="D13" s="153" t="s">
        <v>900</v>
      </c>
    </row>
    <row r="14" spans="1:4" ht="18" customHeight="1">
      <c r="A14" s="149" t="s">
        <v>901</v>
      </c>
      <c r="B14" s="150">
        <f>IF(AND(B8&gt;0,B13&lt;&gt;""),B13/B8,"")</f>
        <v>10.048500000000001</v>
      </c>
      <c r="C14" s="151" t="s">
        <v>902</v>
      </c>
      <c r="D14" s="151" t="s">
        <v>903</v>
      </c>
    </row>
    <row r="16" spans="1:4" ht="15" customHeight="1">
      <c r="A16" s="3" t="s">
        <v>904</v>
      </c>
      <c r="B16" s="3"/>
      <c r="C16" s="3"/>
      <c r="D16" s="3"/>
    </row>
    <row r="17" spans="1:4" ht="15" customHeight="1">
      <c r="A17" s="157" t="s">
        <v>905</v>
      </c>
      <c r="B17" s="84">
        <f>IF(_Allocations!B38="",1,_Allocations!B38)</f>
        <v>1</v>
      </c>
    </row>
    <row r="18" spans="1:4" ht="15" customHeight="1">
      <c r="A18" s="157" t="s">
        <v>906</v>
      </c>
      <c r="B18" s="84">
        <f>IF(B5="","",ROUND(B5/B17,1))</f>
        <v>10</v>
      </c>
    </row>
    <row r="19" spans="1:4" ht="15" customHeight="1">
      <c r="A19" s="157" t="s">
        <v>907</v>
      </c>
      <c r="B19" s="84">
        <f>IF(B4="","",B4*1000*B18*1000000)</f>
        <v>100485000000</v>
      </c>
    </row>
    <row r="20" spans="1:4" ht="15" customHeight="1">
      <c r="A20" s="157" t="s">
        <v>908</v>
      </c>
      <c r="B20" s="84">
        <f>IF(B6&gt;0,IF(B19="","",B19/B6),"")</f>
        <v>10.048500000000001</v>
      </c>
    </row>
    <row r="21" spans="1:4" ht="15" customHeight="1">
      <c r="A21" s="157" t="s">
        <v>909</v>
      </c>
      <c r="B21" s="84" t="str">
        <f>IF(B17="","",IF(B17&gt;1.1,"↓ Reduce pitch - nitrogen-rich environment",IF(B17&lt;0.9,"↑ Increase pitch - low nitrogen environment","Standard pitch OK")))</f>
        <v>Standard pitch OK</v>
      </c>
    </row>
    <row r="23" spans="1:4" ht="15" customHeight="1">
      <c r="A23" s="3" t="s">
        <v>910</v>
      </c>
      <c r="B23" s="3"/>
      <c r="C23" s="3"/>
      <c r="D23" s="3"/>
    </row>
    <row r="24" spans="1:4" ht="15" customHeight="1">
      <c r="A24" s="157" t="s">
        <v>911</v>
      </c>
      <c r="B24" s="84" t="str">
        <f>IF(_Inputs!B24="","(Set in Recipe)",_Inputs!B24&amp;"%")</f>
        <v>0%</v>
      </c>
    </row>
    <row r="25" spans="1:4" ht="15" customHeight="1">
      <c r="A25" s="157" t="s">
        <v>912</v>
      </c>
      <c r="B25" s="84" t="str">
        <f>_Allocations!B35</f>
        <v/>
      </c>
    </row>
    <row r="26" spans="1:4" ht="15" customHeight="1">
      <c r="A26" s="157" t="s">
        <v>913</v>
      </c>
      <c r="B26" s="84" t="str">
        <f>_Allocations!B39</f>
        <v/>
      </c>
    </row>
    <row r="28" spans="1:4" ht="15" customHeight="1">
      <c r="A28" s="157" t="s">
        <v>914</v>
      </c>
      <c r="B28" s="84"/>
    </row>
    <row r="29" spans="1:4" ht="15" customHeight="1">
      <c r="A29" s="157" t="s">
        <v>915</v>
      </c>
      <c r="B29" s="84"/>
    </row>
    <row r="30" spans="1:4" ht="15" customHeight="1">
      <c r="A30" t="s">
        <v>916</v>
      </c>
    </row>
  </sheetData>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20"/>
  <sheetViews>
    <sheetView tabSelected="1" zoomScale="120" workbookViewId="0">
      <selection activeCell="D12" sqref="D12"/>
    </sheetView>
  </sheetViews>
  <sheetFormatPr baseColWidth="10" defaultColWidth="8.83203125" defaultRowHeight="15"/>
  <cols>
    <col min="1" max="1" width="24" customWidth="1"/>
    <col min="2" max="2" width="32" customWidth="1"/>
    <col min="3" max="6" width="8" customWidth="1"/>
    <col min="7" max="7" width="30" customWidth="1"/>
  </cols>
  <sheetData>
    <row r="1" spans="1:20" ht="15" customHeight="1">
      <c r="A1" s="158" t="s">
        <v>917</v>
      </c>
      <c r="B1" s="159"/>
      <c r="C1" s="159"/>
      <c r="D1" s="159"/>
      <c r="E1" s="159"/>
      <c r="F1" s="159" t="s">
        <v>95</v>
      </c>
      <c r="G1" s="159"/>
      <c r="H1" s="159"/>
      <c r="I1" s="159"/>
      <c r="J1" s="159"/>
      <c r="K1" s="159"/>
      <c r="L1" s="159"/>
      <c r="M1" s="159"/>
      <c r="N1" s="159"/>
      <c r="O1" s="159"/>
      <c r="P1" s="159"/>
      <c r="Q1" s="159"/>
      <c r="R1" s="159"/>
      <c r="S1" s="159"/>
      <c r="T1" s="159"/>
    </row>
    <row r="2" spans="1:20">
      <c r="A2" s="159"/>
      <c r="B2" s="159"/>
      <c r="C2" s="159"/>
      <c r="D2" s="159"/>
      <c r="E2" s="159"/>
      <c r="F2" s="159"/>
      <c r="G2" s="159"/>
      <c r="H2" s="159"/>
      <c r="I2" s="159"/>
      <c r="J2" s="159"/>
      <c r="K2" s="159"/>
      <c r="L2" s="159"/>
      <c r="M2" s="159"/>
      <c r="N2" s="159"/>
      <c r="O2" s="159"/>
      <c r="P2" s="159"/>
      <c r="Q2" s="159"/>
      <c r="R2" s="159"/>
      <c r="S2" s="159"/>
      <c r="T2" s="159"/>
    </row>
    <row r="3" spans="1:20" ht="15" customHeight="1">
      <c r="A3" s="160" t="s">
        <v>604</v>
      </c>
      <c r="B3" s="161"/>
      <c r="C3" s="159"/>
      <c r="D3" s="159"/>
      <c r="E3" s="159"/>
      <c r="F3" s="159"/>
      <c r="G3" s="159"/>
      <c r="H3" s="159"/>
      <c r="I3" s="159"/>
      <c r="J3" s="159"/>
      <c r="K3" s="159"/>
      <c r="L3" s="159"/>
      <c r="M3" s="159"/>
      <c r="N3" s="159"/>
      <c r="O3" s="159"/>
      <c r="P3" s="159"/>
      <c r="Q3" s="159"/>
      <c r="R3" s="159"/>
      <c r="S3" s="159"/>
      <c r="T3" s="159"/>
    </row>
    <row r="4" spans="1:20" ht="15" customHeight="1">
      <c r="A4" s="159" t="s">
        <v>918</v>
      </c>
      <c r="B4" s="162" t="s">
        <v>919</v>
      </c>
      <c r="C4" s="159"/>
      <c r="D4" s="159"/>
      <c r="E4" s="159"/>
      <c r="F4" s="159"/>
      <c r="G4" s="159"/>
      <c r="H4" s="159"/>
      <c r="I4" s="159"/>
      <c r="J4" s="159"/>
      <c r="K4" s="159"/>
      <c r="L4" s="159"/>
      <c r="M4" s="159"/>
      <c r="N4" s="159"/>
      <c r="O4" s="159"/>
      <c r="P4" s="159"/>
      <c r="Q4" s="159"/>
      <c r="R4" s="159"/>
      <c r="S4" s="159"/>
      <c r="T4" s="159"/>
    </row>
    <row r="5" spans="1:20" ht="15" customHeight="1">
      <c r="A5" s="159" t="s">
        <v>920</v>
      </c>
      <c r="B5" s="162" t="s">
        <v>919</v>
      </c>
      <c r="C5" s="159"/>
      <c r="D5" s="159"/>
      <c r="E5" s="159"/>
      <c r="F5" s="159"/>
      <c r="G5" s="159"/>
      <c r="H5" s="159"/>
      <c r="I5" s="159"/>
      <c r="J5" s="159"/>
      <c r="K5" s="159"/>
      <c r="L5" s="159"/>
      <c r="M5" s="159"/>
      <c r="N5" s="159"/>
      <c r="O5" s="159"/>
      <c r="P5" s="159"/>
      <c r="Q5" s="159"/>
      <c r="R5" s="159"/>
      <c r="S5" s="159"/>
      <c r="T5" s="159"/>
    </row>
    <row r="6" spans="1:20" ht="15" customHeight="1">
      <c r="A6" s="159" t="s">
        <v>921</v>
      </c>
      <c r="B6" s="162" t="s">
        <v>919</v>
      </c>
      <c r="C6" s="159"/>
      <c r="D6" s="159"/>
      <c r="E6" s="159"/>
      <c r="F6" s="159"/>
      <c r="G6" s="159"/>
      <c r="H6" s="159"/>
      <c r="I6" s="159"/>
      <c r="J6" s="159"/>
      <c r="K6" s="159"/>
      <c r="L6" s="159"/>
      <c r="M6" s="159"/>
      <c r="N6" s="159"/>
      <c r="O6" s="159"/>
      <c r="P6" s="159"/>
      <c r="Q6" s="159"/>
      <c r="R6" s="159"/>
      <c r="S6" s="159"/>
      <c r="T6" s="159"/>
    </row>
    <row r="7" spans="1:20">
      <c r="A7" s="159" t="s">
        <v>508</v>
      </c>
      <c r="B7" s="163"/>
      <c r="C7" s="159"/>
      <c r="D7" s="159"/>
      <c r="E7" s="159"/>
      <c r="F7" s="159"/>
      <c r="G7" s="159"/>
      <c r="H7" s="159"/>
      <c r="I7" s="159"/>
      <c r="J7" s="159"/>
      <c r="K7" s="159"/>
      <c r="L7" s="159"/>
      <c r="M7" s="159"/>
      <c r="N7" s="159"/>
      <c r="O7" s="159"/>
      <c r="P7" s="159"/>
      <c r="Q7" s="159"/>
      <c r="R7" s="159"/>
      <c r="S7" s="159"/>
      <c r="T7" s="159"/>
    </row>
    <row r="8" spans="1:20" ht="15" customHeight="1">
      <c r="A8" s="159" t="s">
        <v>922</v>
      </c>
      <c r="B8" s="162" t="s">
        <v>919</v>
      </c>
      <c r="C8" s="159"/>
      <c r="D8" s="159"/>
      <c r="E8" s="159"/>
      <c r="F8" s="159"/>
      <c r="G8" s="159"/>
      <c r="H8" s="159"/>
      <c r="I8" s="159"/>
      <c r="J8" s="159"/>
      <c r="K8" s="159"/>
      <c r="L8" s="159"/>
      <c r="M8" s="159"/>
      <c r="N8" s="159"/>
      <c r="O8" s="159"/>
      <c r="P8" s="159"/>
      <c r="Q8" s="159"/>
      <c r="R8" s="159"/>
      <c r="S8" s="159"/>
      <c r="T8" s="159"/>
    </row>
    <row r="9" spans="1:20" ht="15" customHeight="1">
      <c r="A9" s="159" t="s">
        <v>923</v>
      </c>
      <c r="B9" s="162" t="s">
        <v>919</v>
      </c>
      <c r="C9" s="159"/>
      <c r="D9" s="159"/>
      <c r="E9" s="159"/>
      <c r="F9" s="159"/>
      <c r="G9" s="159"/>
      <c r="H9" s="159"/>
      <c r="I9" s="159"/>
      <c r="J9" s="159"/>
      <c r="K9" s="159"/>
      <c r="L9" s="159"/>
      <c r="M9" s="159"/>
      <c r="N9" s="159"/>
      <c r="O9" s="159"/>
      <c r="P9" s="159"/>
      <c r="Q9" s="159"/>
      <c r="R9" s="159"/>
      <c r="S9" s="159"/>
      <c r="T9" s="159"/>
    </row>
    <row r="10" spans="1:20" ht="15" customHeight="1">
      <c r="A10" s="159" t="s">
        <v>924</v>
      </c>
      <c r="B10" s="162" t="s">
        <v>919</v>
      </c>
      <c r="C10" s="159"/>
      <c r="D10" s="159"/>
      <c r="E10" s="159"/>
      <c r="F10" s="159"/>
      <c r="G10" s="159"/>
      <c r="H10" s="159"/>
      <c r="I10" s="159"/>
      <c r="J10" s="159"/>
      <c r="K10" s="159"/>
      <c r="L10" s="159"/>
      <c r="M10" s="159"/>
      <c r="N10" s="159"/>
      <c r="O10" s="159"/>
      <c r="P10" s="159"/>
      <c r="Q10" s="159"/>
      <c r="R10" s="159"/>
      <c r="S10" s="159"/>
      <c r="T10" s="159"/>
    </row>
    <row r="11" spans="1:20">
      <c r="A11" s="159" t="s">
        <v>925</v>
      </c>
      <c r="B11" s="162" t="s">
        <v>919</v>
      </c>
      <c r="C11" s="159"/>
      <c r="D11" s="159"/>
      <c r="E11" s="159"/>
      <c r="F11" s="159"/>
      <c r="G11" s="159"/>
      <c r="H11" s="159"/>
      <c r="I11" s="159"/>
      <c r="J11" s="159"/>
      <c r="K11" s="159"/>
      <c r="L11" s="159"/>
      <c r="M11" s="159"/>
      <c r="N11" s="159"/>
      <c r="O11" s="159"/>
      <c r="P11" s="159"/>
      <c r="Q11" s="159"/>
      <c r="R11" s="159"/>
      <c r="S11" s="159"/>
      <c r="T11" s="159"/>
    </row>
    <row r="12" spans="1:20" ht="15" customHeight="1">
      <c r="A12" s="159" t="s">
        <v>926</v>
      </c>
      <c r="B12" s="163"/>
      <c r="C12" s="159"/>
      <c r="D12" s="159"/>
      <c r="E12" s="159"/>
      <c r="F12" s="159"/>
      <c r="G12" s="159"/>
      <c r="H12" s="159"/>
      <c r="I12" s="159"/>
      <c r="J12" s="159"/>
      <c r="K12" s="159"/>
      <c r="L12" s="159"/>
      <c r="M12" s="159"/>
      <c r="N12" s="159"/>
      <c r="O12" s="159"/>
      <c r="P12" s="159"/>
      <c r="Q12" s="159"/>
      <c r="R12" s="159"/>
      <c r="S12" s="159"/>
      <c r="T12" s="159"/>
    </row>
    <row r="13" spans="1:20" ht="15" customHeight="1">
      <c r="A13" s="159" t="s">
        <v>927</v>
      </c>
      <c r="B13" s="163"/>
      <c r="C13" s="159"/>
      <c r="D13" s="159"/>
      <c r="E13" s="159"/>
      <c r="F13" s="159"/>
      <c r="G13" s="159"/>
      <c r="H13" s="159"/>
      <c r="I13" s="159"/>
      <c r="J13" s="159"/>
      <c r="K13" s="159"/>
      <c r="L13" s="159"/>
      <c r="M13" s="159"/>
      <c r="N13" s="159"/>
      <c r="O13" s="159"/>
      <c r="P13" s="159"/>
      <c r="Q13" s="159"/>
      <c r="R13" s="159"/>
      <c r="S13" s="159"/>
      <c r="T13" s="159"/>
    </row>
    <row r="14" spans="1:20" ht="15" customHeight="1">
      <c r="A14" s="159" t="s">
        <v>928</v>
      </c>
      <c r="B14" s="163">
        <v>20</v>
      </c>
      <c r="C14" s="159"/>
      <c r="D14" s="164"/>
      <c r="E14" s="164"/>
      <c r="F14" s="159"/>
      <c r="G14" s="165"/>
      <c r="H14" s="159"/>
      <c r="I14" s="159"/>
      <c r="J14" s="159"/>
      <c r="K14" s="159"/>
      <c r="L14" s="159"/>
      <c r="M14" s="159"/>
      <c r="N14" s="159"/>
      <c r="O14" s="159"/>
      <c r="P14" s="159"/>
      <c r="Q14" s="159"/>
      <c r="R14" s="159"/>
      <c r="S14" s="159"/>
      <c r="T14" s="159"/>
    </row>
    <row r="15" spans="1:20" ht="15" customHeight="1">
      <c r="A15" s="159"/>
      <c r="B15" s="159"/>
      <c r="C15" s="159"/>
      <c r="D15" s="164"/>
      <c r="E15" s="164"/>
      <c r="F15" s="159"/>
      <c r="G15" s="165"/>
      <c r="H15" s="159"/>
      <c r="I15" s="159"/>
      <c r="J15" s="159"/>
      <c r="K15" s="159"/>
      <c r="L15" s="159"/>
      <c r="M15" s="159"/>
      <c r="N15" s="159"/>
      <c r="O15" s="159"/>
      <c r="P15" s="159"/>
      <c r="Q15" s="159"/>
      <c r="R15" s="159"/>
      <c r="S15" s="159"/>
      <c r="T15" s="159"/>
    </row>
    <row r="16" spans="1:20" ht="15" customHeight="1">
      <c r="A16" s="160" t="s">
        <v>929</v>
      </c>
      <c r="B16" s="161"/>
      <c r="C16" s="159"/>
      <c r="D16" s="164"/>
      <c r="E16" s="164"/>
      <c r="F16" s="159"/>
      <c r="G16" s="165"/>
      <c r="H16" s="159"/>
      <c r="I16" s="159"/>
      <c r="J16" s="159"/>
      <c r="K16" s="159"/>
      <c r="L16" s="159"/>
      <c r="M16" s="159"/>
      <c r="N16" s="159"/>
      <c r="O16" s="159"/>
      <c r="P16" s="159"/>
      <c r="Q16" s="159"/>
      <c r="R16" s="159"/>
      <c r="S16" s="159"/>
      <c r="T16" s="159"/>
    </row>
    <row r="17" spans="1:20" ht="15" customHeight="1">
      <c r="A17" s="166" t="s">
        <v>930</v>
      </c>
      <c r="B17" s="167" t="str">
        <f>IFERROR(IF(B4="Select","Select goal above",IF(ISNUMBER(SEARCH("Yeast only",B4)),"60°C core temp",IF(ISNUMBER(SEARCH("Standard",B4)),"65°C core temp",IF(ISNUMBER(SEARCH("Full",B4)),"65°C core temp (do 2x)","65°C core temp")))),"")</f>
        <v>Select goal above</v>
      </c>
      <c r="C17" s="159"/>
      <c r="D17" s="164"/>
      <c r="E17" s="164"/>
      <c r="F17" s="159"/>
      <c r="G17" s="165"/>
      <c r="H17" s="159"/>
      <c r="I17" s="159"/>
      <c r="J17" s="159"/>
      <c r="K17" s="159"/>
      <c r="L17" s="159"/>
      <c r="M17" s="159"/>
      <c r="N17" s="159"/>
      <c r="O17" s="159"/>
      <c r="P17" s="159"/>
      <c r="Q17" s="159"/>
      <c r="R17" s="159"/>
      <c r="S17" s="159"/>
      <c r="T17" s="159"/>
    </row>
    <row r="18" spans="1:20" ht="15" customHeight="1">
      <c r="A18" s="166" t="s">
        <v>931</v>
      </c>
      <c r="B18" s="167" t="str">
        <f>IFERROR(IF(B4="Select","Select goal above","30 seconds minimum"),"")</f>
        <v>Select goal above</v>
      </c>
      <c r="C18" s="159"/>
      <c r="D18" s="164"/>
      <c r="E18" s="164"/>
      <c r="F18" s="159"/>
      <c r="G18" s="165"/>
      <c r="H18" s="159"/>
      <c r="I18" s="159"/>
      <c r="J18" s="159"/>
      <c r="K18" s="159"/>
      <c r="L18" s="159"/>
      <c r="M18" s="159"/>
      <c r="N18" s="159"/>
      <c r="O18" s="159"/>
      <c r="P18" s="159"/>
      <c r="Q18" s="159"/>
      <c r="R18" s="159"/>
      <c r="S18" s="159"/>
      <c r="T18" s="159"/>
    </row>
    <row r="19" spans="1:20" ht="15" customHeight="1">
      <c r="A19" s="166" t="s">
        <v>932</v>
      </c>
      <c r="B19" s="167" t="str">
        <f>IFERROR(IF(B9="Select","Select cooling above",IF(ISNUMBER(SEARCH("Ice",B9)),"Ice bath until &lt;30°C",IF(ISNUMBER(SEARCH("Cold water",B9)),"Cold water until &lt;30°C",IF(ISNUMBER(SEARCH("Air",B9)),"Air cool (SLOW - adds PU)","Plate HX inline")))),"")</f>
        <v>Select cooling above</v>
      </c>
      <c r="C19" s="159"/>
      <c r="D19" s="164"/>
      <c r="E19" s="164"/>
      <c r="F19" s="159"/>
      <c r="G19" s="165"/>
      <c r="H19" s="159"/>
      <c r="I19" s="159"/>
      <c r="J19" s="159"/>
      <c r="K19" s="159"/>
      <c r="L19" s="159"/>
      <c r="M19" s="159"/>
      <c r="N19" s="159"/>
      <c r="O19" s="159"/>
      <c r="P19" s="159"/>
      <c r="Q19" s="159"/>
      <c r="R19" s="159"/>
      <c r="S19" s="159"/>
      <c r="T19" s="159"/>
    </row>
    <row r="20" spans="1:20" ht="15" customHeight="1">
      <c r="A20" s="166" t="s">
        <v>933</v>
      </c>
      <c r="B20" s="167" t="str">
        <f>IFERROR(IF(OR(B12="",B13=""),"Enter quantities above",CEILING(B12/B13,1)),"")</f>
        <v>Enter quantities above</v>
      </c>
      <c r="C20" s="159"/>
      <c r="D20" s="164"/>
      <c r="E20" s="164"/>
      <c r="F20" s="159"/>
      <c r="G20" s="165"/>
      <c r="H20" s="159"/>
      <c r="I20" s="159"/>
      <c r="J20" s="159"/>
      <c r="K20" s="159"/>
      <c r="L20" s="159"/>
      <c r="M20" s="159"/>
      <c r="N20" s="159"/>
      <c r="O20" s="159"/>
      <c r="P20" s="159"/>
      <c r="Q20" s="159"/>
      <c r="R20" s="159"/>
      <c r="S20" s="159"/>
      <c r="T20" s="159"/>
    </row>
    <row r="21" spans="1:20" ht="15" customHeight="1">
      <c r="A21" s="166" t="s">
        <v>934</v>
      </c>
      <c r="B21" s="167" t="str">
        <f>IFERROR(IF(B5="Select","Select package above",IF(ISNUMBER(SEARCH("1.8",B5)),"~70 min",IF(ISNUMBER(SEARCH("720",B5)),"~45 min",IF(ISNUMBER(SEARCH("750",B5)),"~45 min","~40 min")))&amp;" per cycle"),"")</f>
        <v>Select package above</v>
      </c>
      <c r="C21" s="159"/>
      <c r="D21" s="164"/>
      <c r="E21" s="164"/>
      <c r="F21" s="159"/>
      <c r="G21" s="165"/>
      <c r="H21" s="159"/>
      <c r="I21" s="159"/>
      <c r="J21" s="159"/>
      <c r="K21" s="159"/>
      <c r="L21" s="159"/>
      <c r="M21" s="159"/>
      <c r="N21" s="159"/>
      <c r="O21" s="159"/>
      <c r="P21" s="159"/>
      <c r="Q21" s="159"/>
      <c r="R21" s="159"/>
      <c r="S21" s="159"/>
      <c r="T21" s="159"/>
    </row>
    <row r="22" spans="1:20" ht="15" customHeight="1">
      <c r="A22" s="166" t="s">
        <v>935</v>
      </c>
      <c r="B22" s="168" t="str">
        <f>IFERROR(IF(OR(B12="",B13="",B5="Select"),"Complete inputs above",TEXT(INT(CEILING(B12/B13,1)*IF(ISNUMBER(SEARCH("1.8",B5)),70,IF(ISNUMBER(SEARCH("720",B5)),45,IF(ISNUMBER(SEARCH("750",B5)),45,40)))/60),"0")&amp;"h "&amp;TEXT(MOD(CEILING(B12/B13,1)*IF(ISNUMBER(SEARCH("1.8",B5)),70,IF(ISNUMBER(SEARCH("720",B5)),45,IF(ISNUMBER(SEARCH("750",B5)),45,40))),60),"0")&amp;"m"&amp;IF(ISNUMBER(SEARCH("Full",B4))," (×2 for 2x hi-ire)","")),"")</f>
        <v>Complete inputs above</v>
      </c>
      <c r="C22" s="159"/>
      <c r="D22" s="164"/>
      <c r="E22" s="164"/>
      <c r="F22" s="159"/>
      <c r="G22" s="165"/>
      <c r="H22" s="159"/>
      <c r="I22" s="159"/>
      <c r="J22" s="159"/>
      <c r="K22" s="159"/>
      <c r="L22" s="159"/>
      <c r="M22" s="159"/>
      <c r="N22" s="159"/>
      <c r="O22" s="159"/>
      <c r="P22" s="159"/>
      <c r="Q22" s="159"/>
      <c r="R22" s="159"/>
      <c r="S22" s="159"/>
      <c r="T22" s="159"/>
    </row>
    <row r="23" spans="1:20" ht="15" customHeight="1">
      <c r="A23" s="159"/>
      <c r="B23" s="159"/>
      <c r="C23" s="159"/>
      <c r="D23" s="164"/>
      <c r="E23" s="164"/>
      <c r="F23" s="159"/>
      <c r="G23" s="165"/>
      <c r="H23" s="159"/>
      <c r="I23" s="159"/>
      <c r="J23" s="159"/>
      <c r="K23" s="159"/>
      <c r="L23" s="159"/>
      <c r="M23" s="159"/>
      <c r="N23" s="159"/>
      <c r="O23" s="159"/>
      <c r="P23" s="159"/>
      <c r="Q23" s="159"/>
      <c r="R23" s="159"/>
      <c r="S23" s="159"/>
      <c r="T23" s="159"/>
    </row>
    <row r="24" spans="1:20" ht="15" customHeight="1">
      <c r="A24" s="160" t="s">
        <v>936</v>
      </c>
      <c r="B24" s="161"/>
      <c r="C24" s="159"/>
      <c r="D24" s="164"/>
      <c r="E24" s="164"/>
      <c r="F24" s="159"/>
      <c r="G24" s="165"/>
      <c r="H24" s="159"/>
      <c r="I24" s="159"/>
      <c r="J24" s="159"/>
      <c r="K24" s="159"/>
      <c r="L24" s="159"/>
      <c r="M24" s="159"/>
      <c r="N24" s="159"/>
      <c r="O24" s="159"/>
      <c r="P24" s="159"/>
      <c r="Q24" s="159"/>
      <c r="R24" s="159"/>
      <c r="S24" s="159"/>
      <c r="T24" s="159"/>
    </row>
    <row r="25" spans="1:20" ht="15" customHeight="1">
      <c r="A25" s="166" t="s">
        <v>937</v>
      </c>
      <c r="B25" s="167" t="str">
        <f>IFERROR(IF(OR(B8="Select",B10="Select"),"Complete inputs above",IF(ISNUMBER(SEARCH("Unpasteurized",B8)),"5°C refrigerated REQUIRED",IF(AND(ISNUMBER(SEARCH("Twice",B8)),B7&gt;=15,OR(ISNUMBER(SEARCH("Age",B10)),ISNUMBER(SEARCH("Long",B10)))),IF(B11="Select","Ambient or warm OK for aging",B11),IF(AND(ISNUMBER(SEARCH("Twice",B8)),B7&gt;=15),"Cool or ambient OK",IF(B7&gt;=15,"Cool (10-15°C) recommended","Refrigerated (5°C) recommended"))))),"")</f>
        <v>Complete inputs above</v>
      </c>
      <c r="C25" s="159"/>
      <c r="D25" s="164"/>
      <c r="E25" s="164"/>
      <c r="F25" s="159"/>
      <c r="G25" s="165"/>
      <c r="H25" s="159"/>
      <c r="I25" s="159"/>
      <c r="J25" s="159"/>
      <c r="K25" s="159"/>
      <c r="L25" s="159"/>
      <c r="M25" s="159"/>
      <c r="N25" s="159"/>
      <c r="O25" s="159"/>
      <c r="P25" s="159"/>
      <c r="Q25" s="159"/>
      <c r="R25" s="159"/>
      <c r="S25" s="159"/>
      <c r="T25" s="159"/>
    </row>
    <row r="26" spans="1:20" ht="15" customHeight="1">
      <c r="A26" s="166" t="s">
        <v>938</v>
      </c>
      <c r="B26" s="167" t="str">
        <f>IFERROR(IF(OR(B8="Select",B10="Select"),"Complete inputs above",IF(ISNUMBER(SEARCH("Unpasteurized",B8)),"Weeks only - ship fast!",IF(ISNUMBER(SEARCH("Long",B10)),IF(AND(ISNUMBER(SEARCH("Twice",B8)),B7&gt;=17),"Years OK (even warm)","Years OK (keep cool)"),IF(ISNUMBER(SEARCH("Age",B10)),IF(ISNUMBER(SEARCH("Twice",B8)),"1-3 years OK","6-12 months max"),IF(ISNUMBER(SEARCH("6+",B10)),"6-12 months OK",IF(ISNUMBER(SEARCH("1-3",B10)),"3 months OK","Ship when ready")))))),"")</f>
        <v>Complete inputs above</v>
      </c>
      <c r="C26" s="159"/>
      <c r="D26" s="164"/>
      <c r="E26" s="164"/>
      <c r="F26" s="159"/>
      <c r="G26" s="165"/>
      <c r="H26" s="159"/>
      <c r="I26" s="159"/>
      <c r="J26" s="159"/>
      <c r="K26" s="159"/>
      <c r="L26" s="159"/>
      <c r="M26" s="159"/>
      <c r="N26" s="159"/>
      <c r="O26" s="159"/>
      <c r="P26" s="159"/>
      <c r="Q26" s="159"/>
      <c r="R26" s="159"/>
      <c r="S26" s="159"/>
      <c r="T26" s="159"/>
    </row>
    <row r="27" spans="1:20" ht="15" customHeight="1">
      <c r="A27" s="166" t="s">
        <v>939</v>
      </c>
      <c r="B27" s="168" t="str">
        <f>IFERROR(IF(OR(B4="Select",B8="Select"),"Complete inputs above",IF(ISNUMBER(SEARCH("Unpasteurized",B8)),"LOW - cold chain required",IF(AND(ISNUMBER(SEARCH("Twice",B8)),B7&gt;=15),"HIGH - room temp storage OK",IF(AND(ISNUMBER(SEARCH("Full",B4)),B7&gt;=15),"HIGH - room temp storage OK",IF(B7&gt;=15,"MODERATE - cool storage","LOW - refrigerate"))))),"")</f>
        <v>Complete inputs above</v>
      </c>
      <c r="C27" s="159"/>
      <c r="D27" s="164"/>
      <c r="E27" s="164"/>
      <c r="F27" s="159"/>
      <c r="G27" s="165"/>
      <c r="H27" s="159"/>
      <c r="I27" s="159"/>
      <c r="J27" s="159"/>
      <c r="K27" s="159"/>
      <c r="L27" s="159"/>
      <c r="M27" s="159"/>
      <c r="N27" s="159"/>
      <c r="O27" s="159"/>
      <c r="P27" s="159"/>
      <c r="Q27" s="159"/>
      <c r="R27" s="159"/>
      <c r="S27" s="159"/>
      <c r="T27" s="159"/>
    </row>
    <row r="28" spans="1:20" ht="15" customHeight="1">
      <c r="A28" s="159"/>
      <c r="B28" s="159"/>
      <c r="C28" s="159"/>
      <c r="D28" s="164"/>
      <c r="E28" s="164"/>
      <c r="F28" s="159"/>
      <c r="G28" s="165"/>
      <c r="H28" s="159"/>
      <c r="I28" s="159"/>
      <c r="J28" s="159"/>
      <c r="K28" s="159"/>
      <c r="L28" s="159"/>
      <c r="M28" s="159"/>
      <c r="N28" s="159"/>
      <c r="O28" s="159"/>
      <c r="P28" s="159"/>
      <c r="Q28" s="159"/>
      <c r="R28" s="159"/>
      <c r="S28" s="159"/>
      <c r="T28" s="159"/>
    </row>
    <row r="29" spans="1:20" ht="15" customHeight="1">
      <c r="A29" s="169" t="s">
        <v>940</v>
      </c>
      <c r="B29" s="170"/>
      <c r="C29" s="159"/>
      <c r="D29" s="164"/>
      <c r="E29" s="164"/>
      <c r="F29" s="159"/>
      <c r="G29" s="165"/>
      <c r="H29" s="159"/>
      <c r="I29" s="159"/>
      <c r="J29" s="159"/>
      <c r="K29" s="159"/>
      <c r="L29" s="159"/>
      <c r="M29" s="159"/>
      <c r="N29" s="159"/>
      <c r="O29" s="159"/>
      <c r="P29" s="159"/>
      <c r="Q29" s="159"/>
      <c r="R29" s="159"/>
      <c r="S29" s="159"/>
      <c r="T29" s="159"/>
    </row>
    <row r="30" spans="1:20" ht="15" customHeight="1">
      <c r="A30" s="159" t="s">
        <v>697</v>
      </c>
      <c r="B30" s="171" t="str">
        <f>IF(B4="Select","—","Dead")</f>
        <v>—</v>
      </c>
      <c r="C30" s="159"/>
      <c r="D30" s="164"/>
      <c r="E30" s="164"/>
      <c r="F30" s="159"/>
      <c r="G30" s="165"/>
      <c r="H30" s="159"/>
      <c r="I30" s="159"/>
      <c r="J30" s="159"/>
      <c r="K30" s="159"/>
      <c r="L30" s="159"/>
      <c r="M30" s="159"/>
      <c r="N30" s="159"/>
      <c r="O30" s="159"/>
      <c r="P30" s="159"/>
      <c r="Q30" s="159"/>
      <c r="R30" s="159"/>
      <c r="S30" s="159"/>
      <c r="T30" s="159"/>
    </row>
    <row r="31" spans="1:20" ht="15" customHeight="1">
      <c r="A31" s="159" t="s">
        <v>941</v>
      </c>
      <c r="B31" s="171" t="str">
        <f>IF(B4="Select","—",IF(ISNUMBER(SEARCH("yeast only",B4)),"ACTIVE - flavor evolving","Dead"))</f>
        <v>—</v>
      </c>
      <c r="C31" s="159"/>
      <c r="D31" s="164"/>
      <c r="E31" s="164"/>
      <c r="F31" s="159"/>
      <c r="G31" s="165"/>
      <c r="H31" s="159"/>
      <c r="I31" s="159"/>
      <c r="J31" s="159"/>
      <c r="K31" s="159"/>
      <c r="L31" s="159"/>
      <c r="M31" s="159"/>
      <c r="N31" s="159"/>
      <c r="O31" s="159"/>
      <c r="P31" s="159"/>
      <c r="Q31" s="159"/>
      <c r="R31" s="159"/>
      <c r="S31" s="159"/>
      <c r="T31" s="159"/>
    </row>
    <row r="32" spans="1:20" ht="15" customHeight="1">
      <c r="A32" s="159" t="s">
        <v>942</v>
      </c>
      <c r="B32" s="171" t="str">
        <f>IF(B4="Select","—",IF(OR(ISNUMBER(SEARCH("Full",B4)),ISNUMBER(SEARCH("Export",B4))),"Dead",IF(AND(B7&gt;=15,ISNUMBER(SEARCH("enzymes",B4))),"Likely dead (high ABV)","RISK - may survive")))</f>
        <v>—</v>
      </c>
      <c r="C32" s="159"/>
      <c r="D32" s="164"/>
      <c r="E32" s="164"/>
      <c r="F32" s="159"/>
      <c r="G32" s="165"/>
      <c r="H32" s="159"/>
      <c r="I32" s="159"/>
      <c r="J32" s="159"/>
      <c r="K32" s="159"/>
      <c r="L32" s="159"/>
      <c r="M32" s="159"/>
      <c r="N32" s="159"/>
      <c r="O32" s="159"/>
      <c r="P32" s="159"/>
      <c r="Q32" s="159"/>
      <c r="R32" s="159"/>
      <c r="S32" s="159"/>
      <c r="T32" s="159"/>
    </row>
    <row r="33" spans="1:20" ht="15" customHeight="1">
      <c r="A33" s="159"/>
      <c r="B33" s="159"/>
      <c r="C33" s="159"/>
      <c r="D33" s="164"/>
      <c r="E33" s="164"/>
      <c r="F33" s="159"/>
      <c r="G33" s="165"/>
      <c r="H33" s="159"/>
      <c r="I33" s="159"/>
      <c r="J33" s="159"/>
      <c r="K33" s="159"/>
      <c r="L33" s="159"/>
      <c r="M33" s="159"/>
      <c r="N33" s="159"/>
      <c r="O33" s="159"/>
      <c r="P33" s="159"/>
      <c r="Q33" s="159"/>
      <c r="R33" s="159"/>
      <c r="S33" s="159"/>
      <c r="T33" s="159"/>
    </row>
    <row r="34" spans="1:20" ht="15" customHeight="1">
      <c r="A34" s="160" t="s">
        <v>943</v>
      </c>
      <c r="B34" s="161"/>
      <c r="C34" s="159"/>
      <c r="D34" s="159"/>
      <c r="E34" s="159"/>
      <c r="F34" s="159"/>
      <c r="G34" s="159"/>
      <c r="H34" s="159"/>
      <c r="I34" s="159"/>
      <c r="J34" s="159"/>
      <c r="K34" s="159"/>
      <c r="L34" s="159"/>
      <c r="M34" s="159"/>
      <c r="N34" s="159"/>
      <c r="O34" s="159"/>
      <c r="P34" s="159"/>
      <c r="Q34" s="159"/>
      <c r="R34" s="159"/>
      <c r="S34" s="159"/>
      <c r="T34" s="159"/>
    </row>
    <row r="35" spans="1:20" ht="15" customHeight="1">
      <c r="A35" s="159" t="str">
        <f>IF(AND(B7&lt;12,B7&lt;&gt;""),"⚠ LOW ABV (&lt;12%): Consider 2x pasteurization + cold chain","")</f>
        <v/>
      </c>
      <c r="B35" s="159"/>
      <c r="C35" s="159"/>
      <c r="D35" s="159"/>
      <c r="E35" s="159"/>
      <c r="F35" s="159"/>
      <c r="G35" s="159"/>
      <c r="H35" s="159"/>
      <c r="I35" s="159"/>
      <c r="J35" s="159"/>
      <c r="K35" s="159"/>
      <c r="L35" s="159"/>
      <c r="M35" s="159"/>
      <c r="N35" s="159"/>
      <c r="O35" s="159"/>
      <c r="P35" s="159"/>
      <c r="Q35" s="159"/>
      <c r="R35" s="159"/>
      <c r="S35" s="159"/>
      <c r="T35" s="159"/>
    </row>
    <row r="36" spans="1:20" ht="15" customHeight="1">
      <c r="A36" s="159" t="str">
        <f>IF(ISNUMBER(SEARCH("Air",B9)),"⚠ AIR COOLING: Slow! Adds PU, risks flavor damage","")</f>
        <v/>
      </c>
      <c r="B36" s="159"/>
      <c r="C36" s="159"/>
      <c r="D36" s="159"/>
      <c r="E36" s="159"/>
      <c r="F36" s="159"/>
      <c r="G36" s="159"/>
      <c r="H36" s="159"/>
      <c r="I36" s="159"/>
      <c r="J36" s="159"/>
      <c r="K36" s="159"/>
      <c r="L36" s="159"/>
      <c r="M36" s="159"/>
      <c r="N36" s="159"/>
      <c r="O36" s="159"/>
      <c r="P36" s="159"/>
      <c r="Q36" s="159"/>
      <c r="R36" s="159"/>
      <c r="S36" s="159"/>
      <c r="T36" s="159"/>
    </row>
    <row r="37" spans="1:20" ht="15" customHeight="1">
      <c r="A37" s="159" t="str">
        <f>IF(OR(ISNUMBER(SEARCH("Plate",B6)),ISNUMBER(SEARCH("Jakan",B6)),ISNUMBER(SEARCH("Jacketed",B6))),"ℹ BULK METHOD: Sterile fill required after pasteurization","")</f>
        <v/>
      </c>
      <c r="B37" s="164"/>
      <c r="C37" s="159"/>
      <c r="D37" s="159"/>
      <c r="E37" s="159"/>
      <c r="F37" s="159"/>
      <c r="G37" s="159"/>
      <c r="H37" s="159"/>
      <c r="I37" s="159"/>
      <c r="J37" s="159"/>
      <c r="K37" s="159"/>
      <c r="L37" s="159"/>
      <c r="M37" s="159"/>
      <c r="N37" s="159"/>
      <c r="O37" s="159"/>
      <c r="P37" s="159"/>
      <c r="Q37" s="159"/>
      <c r="R37" s="159"/>
      <c r="S37" s="159"/>
      <c r="T37" s="159"/>
    </row>
    <row r="38" spans="1:20" ht="15" customHeight="1">
      <c r="A38" s="159" t="str">
        <f>IF(AND(ISNUMBER(SEARCH("Warm",B11)),NOT(ISNUMBER(SEARCH("Twice",B8)))),"⚠ WARM STORAGE: Requires twice-pasteurized sake","")</f>
        <v/>
      </c>
      <c r="B38" s="159"/>
      <c r="C38" s="159"/>
      <c r="D38" s="159"/>
      <c r="E38" s="159"/>
      <c r="F38" s="159"/>
      <c r="G38" s="159"/>
      <c r="H38" s="159"/>
      <c r="I38" s="159"/>
      <c r="J38" s="159"/>
      <c r="K38" s="159"/>
      <c r="L38" s="159"/>
      <c r="M38" s="159"/>
      <c r="N38" s="159"/>
      <c r="O38" s="159"/>
      <c r="P38" s="159"/>
      <c r="Q38" s="159"/>
      <c r="R38" s="159"/>
      <c r="S38" s="159"/>
      <c r="T38" s="159"/>
    </row>
    <row r="39" spans="1:20" ht="15" customHeight="1">
      <c r="A39" s="159" t="str">
        <f>IF(AND(ISNUMBER(SEARCH("Full",B4)),NOT(ISNUMBER(SEARCH("Twice",B8)))),"ℹ Full stability requires TWICE pasteurized (change strategy above)","")</f>
        <v/>
      </c>
      <c r="B39" s="159"/>
      <c r="C39" s="159"/>
      <c r="D39" s="159"/>
      <c r="E39" s="159"/>
      <c r="F39" s="159"/>
      <c r="G39" s="159"/>
      <c r="H39" s="159"/>
      <c r="I39" s="159"/>
      <c r="J39" s="159"/>
      <c r="K39" s="159"/>
      <c r="L39" s="159"/>
      <c r="M39" s="159"/>
      <c r="N39" s="159"/>
      <c r="O39" s="159"/>
      <c r="P39" s="159"/>
      <c r="Q39" s="159"/>
      <c r="R39" s="159"/>
      <c r="S39" s="159"/>
      <c r="T39" s="159"/>
    </row>
    <row r="40" spans="1:20" ht="15" customHeight="1">
      <c r="A40" s="172" t="str">
        <f>IF(AND(A35="",A36="",A37="",A38="",A39=""),"✓ No warnings - settings look good!","")</f>
        <v>✓ No warnings - settings look good!</v>
      </c>
      <c r="B40" s="159"/>
      <c r="C40" s="159"/>
      <c r="D40" s="159"/>
      <c r="E40" s="159"/>
      <c r="F40" s="159"/>
      <c r="G40" s="159"/>
      <c r="H40" s="159"/>
      <c r="I40" s="159"/>
      <c r="J40" s="159"/>
      <c r="K40" s="159"/>
      <c r="L40" s="159"/>
      <c r="M40" s="159"/>
      <c r="N40" s="159"/>
      <c r="O40" s="159"/>
      <c r="P40" s="159"/>
      <c r="Q40" s="159"/>
      <c r="R40" s="159"/>
      <c r="S40" s="159"/>
      <c r="T40" s="159"/>
    </row>
    <row r="41" spans="1:20" ht="15" customHeight="1">
      <c r="A41" s="160" t="s">
        <v>944</v>
      </c>
      <c r="B41" s="173"/>
      <c r="C41" s="159"/>
      <c r="D41" s="159"/>
      <c r="E41" s="159"/>
      <c r="F41" s="159"/>
      <c r="G41" s="159"/>
      <c r="H41" s="159"/>
      <c r="I41" s="159"/>
      <c r="J41" s="159"/>
      <c r="K41" s="159"/>
      <c r="L41" s="159"/>
      <c r="M41" s="159"/>
      <c r="N41" s="159"/>
      <c r="O41" s="159"/>
      <c r="P41" s="159"/>
      <c r="Q41" s="159"/>
      <c r="R41" s="159"/>
      <c r="S41" s="159"/>
      <c r="T41" s="159"/>
    </row>
    <row r="42" spans="1:20" ht="15" customHeight="1">
      <c r="A42" s="159"/>
      <c r="B42" s="165"/>
      <c r="C42" s="159"/>
      <c r="D42" s="159"/>
      <c r="E42" s="159"/>
      <c r="F42" s="159"/>
      <c r="G42" s="159"/>
      <c r="H42" s="159"/>
      <c r="I42" s="159"/>
      <c r="J42" s="159"/>
      <c r="K42" s="159"/>
      <c r="L42" s="159"/>
      <c r="M42" s="159"/>
      <c r="N42" s="159"/>
      <c r="O42" s="159"/>
      <c r="P42" s="159"/>
      <c r="Q42" s="159"/>
      <c r="R42" s="159"/>
      <c r="S42" s="159"/>
      <c r="T42" s="159"/>
    </row>
    <row r="43" spans="1:20" ht="15" customHeight="1">
      <c r="A43" s="174" t="s">
        <v>945</v>
      </c>
      <c r="B43" s="159"/>
      <c r="C43" s="159"/>
      <c r="D43" s="159"/>
      <c r="E43" s="159"/>
      <c r="F43" s="159"/>
      <c r="G43" s="159"/>
      <c r="H43" s="159"/>
      <c r="I43" s="159"/>
      <c r="J43" s="159"/>
      <c r="K43" s="159"/>
      <c r="L43" s="159"/>
      <c r="M43" s="159"/>
      <c r="N43" s="159"/>
      <c r="O43" s="159"/>
      <c r="P43" s="159"/>
      <c r="Q43" s="159"/>
      <c r="R43" s="159"/>
      <c r="S43" s="159"/>
      <c r="T43" s="159"/>
    </row>
    <row r="44" spans="1:20" ht="15" customHeight="1">
      <c r="A44" s="159" t="s">
        <v>946</v>
      </c>
      <c r="B44" s="159"/>
      <c r="C44" s="159"/>
      <c r="D44" s="159"/>
      <c r="E44" s="159"/>
      <c r="F44" s="159"/>
      <c r="G44" s="159"/>
      <c r="H44" s="159"/>
      <c r="I44" s="159"/>
      <c r="J44" s="159"/>
      <c r="K44" s="159"/>
      <c r="L44" s="159"/>
      <c r="M44" s="159"/>
      <c r="N44" s="159"/>
      <c r="O44" s="159"/>
      <c r="P44" s="159"/>
      <c r="Q44" s="159"/>
      <c r="R44" s="159"/>
      <c r="S44" s="159"/>
      <c r="T44" s="159"/>
    </row>
    <row r="45" spans="1:20" ht="15" customHeight="1">
      <c r="A45" s="175" t="s">
        <v>947</v>
      </c>
      <c r="B45" s="159"/>
      <c r="C45" s="159"/>
      <c r="D45" s="159"/>
      <c r="E45" s="159"/>
      <c r="F45" s="159"/>
      <c r="G45" s="159"/>
      <c r="H45" s="159"/>
      <c r="I45" s="159"/>
      <c r="J45" s="159"/>
      <c r="K45" s="159"/>
      <c r="L45" s="159"/>
      <c r="M45" s="159"/>
      <c r="N45" s="159"/>
      <c r="O45" s="159"/>
      <c r="P45" s="159"/>
      <c r="Q45" s="159"/>
      <c r="R45" s="159"/>
      <c r="S45" s="159"/>
      <c r="T45" s="159"/>
    </row>
    <row r="46" spans="1:20" ht="15" customHeight="1">
      <c r="A46" s="159"/>
      <c r="B46" s="159"/>
      <c r="C46" s="159"/>
      <c r="D46" s="159"/>
      <c r="E46" s="159"/>
      <c r="F46" s="159"/>
      <c r="G46" s="159"/>
      <c r="H46" s="159"/>
      <c r="I46" s="159"/>
      <c r="J46" s="159"/>
      <c r="K46" s="159"/>
      <c r="L46" s="159"/>
      <c r="M46" s="159"/>
      <c r="N46" s="159"/>
      <c r="O46" s="159"/>
      <c r="P46" s="159"/>
      <c r="Q46" s="159"/>
      <c r="R46" s="159"/>
      <c r="S46" s="159"/>
      <c r="T46" s="159"/>
    </row>
    <row r="47" spans="1:20" ht="15" customHeight="1">
      <c r="A47" s="174" t="s">
        <v>948</v>
      </c>
      <c r="B47" s="159"/>
      <c r="C47" s="159"/>
      <c r="D47" s="159"/>
      <c r="E47" s="159"/>
      <c r="F47" s="159"/>
      <c r="G47" s="159"/>
      <c r="H47" s="159"/>
      <c r="I47" s="159"/>
      <c r="J47" s="159"/>
      <c r="K47" s="159"/>
      <c r="L47" s="159"/>
      <c r="M47" s="159"/>
      <c r="N47" s="159"/>
      <c r="O47" s="159"/>
      <c r="P47" s="159"/>
      <c r="Q47" s="159"/>
      <c r="R47" s="159"/>
      <c r="S47" s="159"/>
      <c r="T47" s="159"/>
    </row>
    <row r="48" spans="1:20" ht="15" customHeight="1">
      <c r="A48" s="169" t="s">
        <v>949</v>
      </c>
      <c r="B48" s="169" t="s">
        <v>950</v>
      </c>
      <c r="C48" s="159"/>
      <c r="D48" s="159"/>
      <c r="E48" s="159"/>
      <c r="F48" s="159"/>
      <c r="G48" s="159"/>
      <c r="H48" s="159"/>
      <c r="I48" s="159"/>
      <c r="J48" s="159"/>
      <c r="K48" s="159"/>
      <c r="L48" s="159"/>
      <c r="M48" s="159"/>
      <c r="N48" s="159"/>
      <c r="O48" s="159"/>
      <c r="P48" s="159"/>
      <c r="Q48" s="159"/>
      <c r="R48" s="159"/>
      <c r="S48" s="159"/>
      <c r="T48" s="159"/>
    </row>
    <row r="49" spans="1:20" ht="15" customHeight="1">
      <c r="A49" s="159" t="s">
        <v>951</v>
      </c>
      <c r="B49" s="159" t="s">
        <v>952</v>
      </c>
      <c r="C49" s="159"/>
      <c r="D49" s="159"/>
      <c r="E49" s="159"/>
      <c r="F49" s="159"/>
      <c r="G49" s="159"/>
      <c r="H49" s="159"/>
      <c r="I49" s="159"/>
      <c r="J49" s="159"/>
      <c r="K49" s="159"/>
      <c r="L49" s="159"/>
      <c r="M49" s="159"/>
      <c r="N49" s="159"/>
      <c r="O49" s="159"/>
      <c r="P49" s="159"/>
      <c r="Q49" s="159"/>
      <c r="R49" s="159"/>
      <c r="S49" s="159"/>
      <c r="T49" s="159"/>
    </row>
    <row r="50" spans="1:20" ht="15" customHeight="1">
      <c r="A50" s="159" t="s">
        <v>953</v>
      </c>
      <c r="B50" s="159" t="s">
        <v>952</v>
      </c>
      <c r="C50" s="159"/>
      <c r="D50" s="159"/>
      <c r="E50" s="159"/>
      <c r="F50" s="159"/>
      <c r="G50" s="159"/>
      <c r="H50" s="159"/>
      <c r="I50" s="159"/>
      <c r="J50" s="159"/>
      <c r="K50" s="159"/>
      <c r="L50" s="159"/>
      <c r="M50" s="159"/>
      <c r="N50" s="159"/>
      <c r="O50" s="159"/>
      <c r="P50" s="159"/>
      <c r="Q50" s="159"/>
      <c r="R50" s="159"/>
      <c r="S50" s="159"/>
      <c r="T50" s="159"/>
    </row>
    <row r="51" spans="1:20" ht="15" customHeight="1">
      <c r="A51" s="159" t="s">
        <v>954</v>
      </c>
      <c r="B51" s="159" t="s">
        <v>952</v>
      </c>
      <c r="C51" s="159"/>
      <c r="D51" s="159"/>
      <c r="E51" s="159"/>
      <c r="F51" s="159"/>
      <c r="G51" s="159"/>
      <c r="H51" s="159"/>
      <c r="I51" s="159"/>
      <c r="J51" s="159"/>
      <c r="K51" s="159"/>
      <c r="L51" s="159"/>
      <c r="M51" s="159"/>
      <c r="N51" s="159"/>
      <c r="O51" s="159"/>
      <c r="P51" s="159"/>
      <c r="Q51" s="159"/>
      <c r="R51" s="159"/>
      <c r="S51" s="159"/>
      <c r="T51" s="159"/>
    </row>
    <row r="52" spans="1:20" ht="15" customHeight="1">
      <c r="A52" s="159" t="s">
        <v>955</v>
      </c>
      <c r="B52" s="159" t="s">
        <v>956</v>
      </c>
      <c r="C52" s="159"/>
      <c r="D52" s="159"/>
      <c r="E52" s="159"/>
      <c r="F52" s="159"/>
      <c r="G52" s="159"/>
      <c r="H52" s="159"/>
      <c r="I52" s="159"/>
      <c r="J52" s="159"/>
      <c r="K52" s="159"/>
      <c r="L52" s="159"/>
      <c r="M52" s="159"/>
      <c r="N52" s="159"/>
      <c r="O52" s="159"/>
      <c r="P52" s="159"/>
      <c r="Q52" s="159"/>
      <c r="R52" s="159"/>
      <c r="S52" s="159"/>
      <c r="T52" s="159"/>
    </row>
    <row r="53" spans="1:20" ht="15" customHeight="1">
      <c r="A53" s="159" t="s">
        <v>957</v>
      </c>
      <c r="B53" s="159" t="s">
        <v>958</v>
      </c>
      <c r="C53" s="159"/>
      <c r="D53" s="159"/>
      <c r="E53" s="159"/>
      <c r="F53" s="159"/>
      <c r="G53" s="159"/>
      <c r="H53" s="159"/>
      <c r="I53" s="159"/>
      <c r="J53" s="159"/>
      <c r="K53" s="159"/>
      <c r="L53" s="159"/>
      <c r="M53" s="159"/>
      <c r="N53" s="159"/>
      <c r="O53" s="159"/>
      <c r="P53" s="159"/>
      <c r="Q53" s="159"/>
      <c r="R53" s="159"/>
      <c r="S53" s="159"/>
      <c r="T53" s="159"/>
    </row>
    <row r="54" spans="1:20" ht="15" customHeight="1">
      <c r="A54" s="159" t="s">
        <v>959</v>
      </c>
      <c r="B54" s="159" t="s">
        <v>960</v>
      </c>
      <c r="C54" s="159"/>
      <c r="D54" s="159"/>
      <c r="E54" s="159"/>
      <c r="F54" s="159"/>
      <c r="G54" s="159"/>
      <c r="H54" s="159"/>
      <c r="I54" s="159"/>
      <c r="J54" s="159"/>
      <c r="K54" s="159"/>
      <c r="L54" s="159"/>
      <c r="M54" s="159"/>
      <c r="N54" s="159"/>
      <c r="O54" s="159"/>
      <c r="P54" s="159"/>
      <c r="Q54" s="159"/>
      <c r="R54" s="159"/>
      <c r="S54" s="159"/>
      <c r="T54" s="159"/>
    </row>
    <row r="55" spans="1:20" ht="15" customHeight="1">
      <c r="A55" s="159"/>
      <c r="B55" s="159"/>
      <c r="C55" s="159"/>
      <c r="D55" s="159"/>
      <c r="E55" s="159"/>
      <c r="F55" s="159"/>
      <c r="G55" s="159"/>
      <c r="H55" s="159"/>
      <c r="I55" s="159"/>
      <c r="J55" s="159"/>
      <c r="K55" s="159"/>
      <c r="L55" s="159"/>
      <c r="M55" s="159"/>
      <c r="N55" s="159"/>
      <c r="O55" s="159"/>
      <c r="P55" s="159"/>
      <c r="Q55" s="159"/>
      <c r="R55" s="159"/>
      <c r="S55" s="159"/>
      <c r="T55" s="159"/>
    </row>
    <row r="56" spans="1:20" ht="15" customHeight="1">
      <c r="A56" s="174" t="s">
        <v>961</v>
      </c>
      <c r="B56" s="159"/>
      <c r="C56" s="159"/>
      <c r="D56" s="159"/>
      <c r="E56" s="159"/>
      <c r="F56" s="159"/>
      <c r="G56" s="159"/>
      <c r="H56" s="159"/>
      <c r="I56" s="159"/>
      <c r="J56" s="159"/>
      <c r="K56" s="159"/>
      <c r="L56" s="159"/>
      <c r="M56" s="159"/>
      <c r="N56" s="159"/>
      <c r="O56" s="159"/>
      <c r="P56" s="159"/>
      <c r="Q56" s="159"/>
      <c r="R56" s="159"/>
      <c r="S56" s="159"/>
      <c r="T56" s="159"/>
    </row>
    <row r="57" spans="1:20" ht="15" customHeight="1">
      <c r="A57" s="159" t="s">
        <v>962</v>
      </c>
      <c r="B57" s="159"/>
      <c r="C57" s="159"/>
      <c r="D57" s="159"/>
      <c r="E57" s="159"/>
      <c r="F57" s="159"/>
      <c r="G57" s="159"/>
      <c r="H57" s="159"/>
      <c r="I57" s="159"/>
      <c r="J57" s="159"/>
      <c r="K57" s="159"/>
      <c r="L57" s="159"/>
      <c r="M57" s="159"/>
      <c r="N57" s="159"/>
      <c r="O57" s="159"/>
      <c r="P57" s="159"/>
      <c r="Q57" s="159"/>
      <c r="R57" s="159"/>
      <c r="S57" s="159"/>
      <c r="T57" s="159"/>
    </row>
    <row r="58" spans="1:20" ht="15" customHeight="1">
      <c r="A58" s="159" t="s">
        <v>963</v>
      </c>
      <c r="B58" s="159"/>
      <c r="C58" s="159"/>
      <c r="D58" s="159"/>
      <c r="E58" s="159"/>
      <c r="F58" s="159"/>
      <c r="G58" s="159"/>
      <c r="H58" s="159"/>
      <c r="I58" s="159"/>
      <c r="J58" s="159"/>
      <c r="K58" s="159"/>
      <c r="L58" s="159"/>
      <c r="M58" s="159"/>
      <c r="N58" s="159"/>
      <c r="O58" s="159"/>
      <c r="P58" s="159"/>
      <c r="Q58" s="159"/>
      <c r="R58" s="159"/>
      <c r="S58" s="159"/>
      <c r="T58" s="159"/>
    </row>
    <row r="59" spans="1:20" ht="15" customHeight="1">
      <c r="A59" s="175" t="s">
        <v>964</v>
      </c>
      <c r="B59" s="159"/>
      <c r="C59" s="159"/>
      <c r="D59" s="159"/>
      <c r="E59" s="159"/>
      <c r="F59" s="159"/>
      <c r="G59" s="159"/>
      <c r="H59" s="159"/>
      <c r="I59" s="159"/>
      <c r="J59" s="159"/>
      <c r="K59" s="159"/>
      <c r="L59" s="159"/>
      <c r="M59" s="159"/>
      <c r="N59" s="159"/>
      <c r="O59" s="159"/>
      <c r="P59" s="159"/>
      <c r="Q59" s="159"/>
      <c r="R59" s="159"/>
      <c r="S59" s="159"/>
      <c r="T59" s="159"/>
    </row>
    <row r="60" spans="1:20" ht="15" customHeight="1">
      <c r="A60" s="159"/>
      <c r="B60" s="159"/>
      <c r="C60" s="159"/>
      <c r="D60" s="159"/>
      <c r="E60" s="159"/>
      <c r="F60" s="159"/>
      <c r="G60" s="159"/>
      <c r="H60" s="159"/>
      <c r="I60" s="159"/>
      <c r="J60" s="159"/>
      <c r="K60" s="159"/>
      <c r="L60" s="159"/>
      <c r="M60" s="159"/>
      <c r="N60" s="159"/>
      <c r="O60" s="159"/>
      <c r="P60" s="159"/>
      <c r="Q60" s="159"/>
      <c r="R60" s="159"/>
      <c r="S60" s="159"/>
      <c r="T60" s="159"/>
    </row>
    <row r="61" spans="1:20" ht="15" customHeight="1">
      <c r="A61" s="174" t="s">
        <v>965</v>
      </c>
      <c r="B61" s="159"/>
      <c r="C61" s="159"/>
      <c r="D61" s="159"/>
      <c r="E61" s="159"/>
      <c r="F61" s="159"/>
      <c r="G61" s="159"/>
      <c r="H61" s="159"/>
      <c r="I61" s="159"/>
      <c r="J61" s="159"/>
      <c r="K61" s="159"/>
      <c r="L61" s="159"/>
      <c r="M61" s="159"/>
      <c r="N61" s="159"/>
      <c r="O61" s="159"/>
      <c r="P61" s="159"/>
      <c r="Q61" s="159"/>
      <c r="R61" s="159"/>
      <c r="S61" s="159"/>
      <c r="T61" s="159"/>
    </row>
    <row r="62" spans="1:20" ht="15" customHeight="1">
      <c r="A62" s="159" t="s">
        <v>966</v>
      </c>
      <c r="B62" s="159"/>
      <c r="C62" s="159"/>
      <c r="D62" s="159"/>
      <c r="E62" s="159"/>
      <c r="F62" s="159"/>
      <c r="G62" s="159"/>
      <c r="H62" s="159"/>
      <c r="I62" s="159"/>
      <c r="J62" s="159"/>
      <c r="K62" s="159"/>
      <c r="L62" s="159"/>
      <c r="M62" s="159"/>
      <c r="N62" s="159"/>
      <c r="O62" s="159"/>
      <c r="P62" s="159"/>
      <c r="Q62" s="159"/>
      <c r="R62" s="159"/>
      <c r="S62" s="159"/>
      <c r="T62" s="159"/>
    </row>
    <row r="63" spans="1:20" ht="15" customHeight="1">
      <c r="A63" s="159" t="s">
        <v>967</v>
      </c>
      <c r="B63" s="159"/>
      <c r="C63" s="159"/>
      <c r="D63" s="159"/>
      <c r="E63" s="159"/>
      <c r="F63" s="159"/>
      <c r="G63" s="159"/>
      <c r="H63" s="159"/>
      <c r="I63" s="159"/>
      <c r="J63" s="159"/>
      <c r="K63" s="159"/>
      <c r="L63" s="159"/>
      <c r="M63" s="159"/>
      <c r="N63" s="159"/>
      <c r="O63" s="159"/>
      <c r="P63" s="159"/>
      <c r="Q63" s="159"/>
      <c r="R63" s="159"/>
      <c r="S63" s="159"/>
      <c r="T63" s="159"/>
    </row>
    <row r="64" spans="1:20" ht="15" customHeight="1">
      <c r="A64" s="159" t="s">
        <v>968</v>
      </c>
      <c r="B64" s="159"/>
      <c r="C64" s="159"/>
      <c r="D64" s="159"/>
      <c r="E64" s="159"/>
      <c r="F64" s="159"/>
      <c r="G64" s="159"/>
      <c r="H64" s="159"/>
      <c r="I64" s="159"/>
      <c r="J64" s="159"/>
      <c r="K64" s="159"/>
      <c r="L64" s="159"/>
      <c r="M64" s="159"/>
      <c r="N64" s="159"/>
      <c r="O64" s="159"/>
      <c r="P64" s="159"/>
      <c r="Q64" s="159"/>
      <c r="R64" s="159"/>
      <c r="S64" s="159"/>
      <c r="T64" s="159"/>
    </row>
    <row r="65" spans="1:20" ht="15" customHeight="1">
      <c r="A65" s="159" t="s">
        <v>969</v>
      </c>
      <c r="B65" s="159"/>
      <c r="C65" s="159"/>
      <c r="D65" s="159"/>
      <c r="E65" s="159"/>
      <c r="F65" s="159"/>
      <c r="G65" s="159"/>
      <c r="H65" s="159"/>
      <c r="I65" s="159"/>
      <c r="J65" s="159"/>
      <c r="K65" s="159"/>
      <c r="L65" s="159"/>
      <c r="M65" s="159"/>
      <c r="N65" s="159"/>
      <c r="O65" s="159"/>
      <c r="P65" s="159"/>
      <c r="Q65" s="159"/>
      <c r="R65" s="159"/>
      <c r="S65" s="159"/>
      <c r="T65" s="159"/>
    </row>
    <row r="66" spans="1:20" ht="15" customHeight="1">
      <c r="A66" s="174" t="s">
        <v>970</v>
      </c>
      <c r="B66" s="159"/>
      <c r="C66" s="159"/>
      <c r="D66" s="159"/>
      <c r="E66" s="159"/>
      <c r="F66" s="159"/>
      <c r="G66" s="159"/>
      <c r="H66" s="159"/>
      <c r="I66" s="159"/>
      <c r="J66" s="159"/>
      <c r="K66" s="159"/>
      <c r="L66" s="159"/>
      <c r="M66" s="159"/>
      <c r="N66" s="159"/>
      <c r="O66" s="159"/>
      <c r="P66" s="159"/>
      <c r="Q66" s="159"/>
      <c r="R66" s="159"/>
      <c r="S66" s="159"/>
      <c r="T66" s="159"/>
    </row>
    <row r="67" spans="1:20" ht="15" customHeight="1">
      <c r="A67" s="169" t="s">
        <v>181</v>
      </c>
      <c r="B67" s="169" t="s">
        <v>971</v>
      </c>
      <c r="C67" s="159"/>
      <c r="D67" s="159"/>
      <c r="E67" s="159"/>
      <c r="F67" s="159"/>
      <c r="G67" s="159"/>
      <c r="H67" s="159"/>
      <c r="I67" s="159"/>
      <c r="J67" s="159"/>
      <c r="K67" s="159"/>
      <c r="L67" s="159"/>
      <c r="M67" s="159"/>
      <c r="N67" s="159"/>
      <c r="O67" s="159"/>
      <c r="P67" s="159"/>
      <c r="Q67" s="159"/>
      <c r="R67" s="159"/>
      <c r="S67" s="159"/>
      <c r="T67" s="159"/>
    </row>
    <row r="68" spans="1:20" ht="15" customHeight="1">
      <c r="A68" s="159" t="s">
        <v>697</v>
      </c>
      <c r="B68" s="159" t="s">
        <v>972</v>
      </c>
      <c r="C68" s="159"/>
      <c r="D68" s="159"/>
      <c r="E68" s="159"/>
      <c r="F68" s="159"/>
      <c r="G68" s="159"/>
      <c r="H68" s="159"/>
      <c r="I68" s="159"/>
      <c r="J68" s="159"/>
      <c r="K68" s="159"/>
      <c r="L68" s="159"/>
      <c r="M68" s="159"/>
      <c r="N68" s="159"/>
      <c r="O68" s="159"/>
      <c r="P68" s="159"/>
      <c r="Q68" s="159"/>
      <c r="R68" s="159"/>
      <c r="S68" s="159"/>
      <c r="T68" s="159"/>
    </row>
    <row r="69" spans="1:20" ht="15" customHeight="1">
      <c r="A69" s="159" t="s">
        <v>941</v>
      </c>
      <c r="B69" s="159" t="s">
        <v>973</v>
      </c>
      <c r="C69" s="159"/>
      <c r="D69" s="159"/>
      <c r="E69" s="159"/>
      <c r="F69" s="159"/>
      <c r="G69" s="159"/>
      <c r="H69" s="159"/>
      <c r="I69" s="159"/>
      <c r="J69" s="159"/>
      <c r="K69" s="159"/>
      <c r="L69" s="159"/>
      <c r="M69" s="159"/>
      <c r="N69" s="159"/>
      <c r="O69" s="159"/>
      <c r="P69" s="159"/>
      <c r="Q69" s="159"/>
      <c r="R69" s="159"/>
      <c r="S69" s="159"/>
      <c r="T69" s="159"/>
    </row>
    <row r="70" spans="1:20" ht="15" customHeight="1">
      <c r="A70" s="159" t="s">
        <v>974</v>
      </c>
      <c r="B70" s="159" t="s">
        <v>975</v>
      </c>
      <c r="C70" s="159"/>
      <c r="D70" s="159"/>
      <c r="E70" s="159"/>
      <c r="F70" s="159"/>
      <c r="G70" s="159"/>
      <c r="H70" s="159"/>
      <c r="I70" s="159"/>
      <c r="J70" s="159"/>
      <c r="K70" s="159"/>
      <c r="L70" s="159"/>
      <c r="M70" s="159"/>
      <c r="N70" s="159"/>
      <c r="O70" s="159"/>
      <c r="P70" s="159"/>
      <c r="Q70" s="159"/>
      <c r="R70" s="159"/>
      <c r="S70" s="159"/>
      <c r="T70" s="159"/>
    </row>
    <row r="71" spans="1:20" ht="15" customHeight="1">
      <c r="A71" s="159"/>
      <c r="B71" s="159"/>
      <c r="C71" s="159"/>
      <c r="D71" s="159"/>
      <c r="E71" s="159"/>
      <c r="F71" s="159"/>
      <c r="G71" s="159"/>
      <c r="H71" s="159"/>
      <c r="I71" s="159"/>
      <c r="J71" s="159"/>
      <c r="K71" s="159"/>
      <c r="L71" s="159"/>
      <c r="M71" s="159"/>
      <c r="N71" s="159"/>
      <c r="O71" s="159"/>
      <c r="P71" s="159"/>
      <c r="Q71" s="159"/>
      <c r="R71" s="159"/>
      <c r="S71" s="159"/>
      <c r="T71" s="159"/>
    </row>
    <row r="72" spans="1:20" ht="15" customHeight="1">
      <c r="A72" s="174" t="s">
        <v>976</v>
      </c>
      <c r="B72" s="159"/>
      <c r="C72" s="159"/>
      <c r="D72" s="159"/>
      <c r="E72" s="159"/>
      <c r="F72" s="159"/>
      <c r="G72" s="159"/>
      <c r="H72" s="159"/>
      <c r="I72" s="159"/>
      <c r="J72" s="159"/>
      <c r="K72" s="159"/>
      <c r="L72" s="159"/>
      <c r="M72" s="159"/>
      <c r="N72" s="159"/>
      <c r="O72" s="159"/>
      <c r="P72" s="159"/>
      <c r="Q72" s="159"/>
      <c r="R72" s="159"/>
      <c r="S72" s="159"/>
      <c r="T72" s="159"/>
    </row>
    <row r="73" spans="1:20" ht="15" customHeight="1">
      <c r="A73" s="159" t="s">
        <v>977</v>
      </c>
      <c r="B73" s="159"/>
      <c r="C73" s="159"/>
      <c r="D73" s="159"/>
      <c r="E73" s="159"/>
      <c r="F73" s="159"/>
      <c r="G73" s="159"/>
      <c r="H73" s="159"/>
      <c r="I73" s="159"/>
      <c r="J73" s="159"/>
      <c r="K73" s="159"/>
      <c r="L73" s="159"/>
      <c r="M73" s="159"/>
      <c r="N73" s="159"/>
      <c r="O73" s="159"/>
      <c r="P73" s="159"/>
      <c r="Q73" s="159"/>
      <c r="R73" s="159"/>
      <c r="S73" s="159"/>
      <c r="T73" s="159"/>
    </row>
    <row r="74" spans="1:20" ht="15" customHeight="1">
      <c r="A74" s="159" t="s">
        <v>978</v>
      </c>
      <c r="B74" s="159"/>
      <c r="C74" s="159"/>
      <c r="D74" s="159"/>
      <c r="E74" s="159"/>
      <c r="F74" s="159"/>
      <c r="G74" s="159"/>
      <c r="H74" s="159"/>
      <c r="I74" s="159"/>
      <c r="J74" s="159"/>
      <c r="K74" s="159"/>
      <c r="L74" s="159"/>
      <c r="M74" s="159"/>
      <c r="N74" s="159"/>
      <c r="O74" s="159"/>
      <c r="P74" s="159"/>
      <c r="Q74" s="159"/>
      <c r="R74" s="159"/>
      <c r="S74" s="159"/>
      <c r="T74" s="159"/>
    </row>
    <row r="75" spans="1:20" ht="15" customHeight="1">
      <c r="A75" s="159"/>
      <c r="B75" s="159"/>
      <c r="C75" s="159"/>
      <c r="D75" s="159"/>
      <c r="E75" s="159"/>
      <c r="F75" s="159"/>
      <c r="G75" s="159"/>
      <c r="H75" s="159"/>
      <c r="I75" s="159"/>
      <c r="J75" s="159"/>
      <c r="K75" s="159"/>
      <c r="L75" s="159"/>
      <c r="M75" s="159"/>
      <c r="N75" s="159"/>
      <c r="O75" s="159"/>
      <c r="P75" s="159"/>
      <c r="Q75" s="159"/>
      <c r="R75" s="159"/>
      <c r="S75" s="159"/>
      <c r="T75" s="159"/>
    </row>
    <row r="76" spans="1:20" ht="15" customHeight="1">
      <c r="A76" s="174" t="s">
        <v>979</v>
      </c>
      <c r="B76" s="159"/>
      <c r="C76" s="159"/>
      <c r="D76" s="159"/>
      <c r="E76" s="159"/>
      <c r="F76" s="159"/>
      <c r="G76" s="159"/>
      <c r="H76" s="159"/>
      <c r="I76" s="159"/>
      <c r="J76" s="159"/>
      <c r="K76" s="159"/>
      <c r="L76" s="159"/>
      <c r="M76" s="159"/>
      <c r="N76" s="159"/>
      <c r="O76" s="159"/>
      <c r="P76" s="159"/>
      <c r="Q76" s="159"/>
      <c r="R76" s="159"/>
      <c r="S76" s="159"/>
      <c r="T76" s="159"/>
    </row>
    <row r="77" spans="1:20" ht="15" customHeight="1">
      <c r="A77" s="159" t="s">
        <v>980</v>
      </c>
      <c r="B77" s="159"/>
      <c r="C77" s="159"/>
      <c r="D77" s="159"/>
      <c r="E77" s="159"/>
      <c r="F77" s="159"/>
      <c r="G77" s="159"/>
      <c r="H77" s="159"/>
      <c r="I77" s="159"/>
      <c r="J77" s="159"/>
      <c r="K77" s="159"/>
      <c r="L77" s="159"/>
      <c r="M77" s="159"/>
      <c r="N77" s="159"/>
      <c r="O77" s="159"/>
      <c r="P77" s="159"/>
      <c r="Q77" s="159"/>
      <c r="R77" s="159"/>
      <c r="S77" s="159"/>
      <c r="T77" s="159"/>
    </row>
    <row r="78" spans="1:20" ht="15" customHeight="1">
      <c r="A78" s="159" t="s">
        <v>981</v>
      </c>
      <c r="B78" s="159"/>
      <c r="C78" s="159"/>
      <c r="D78" s="159"/>
      <c r="E78" s="159"/>
      <c r="F78" s="159"/>
      <c r="G78" s="159"/>
      <c r="H78" s="159"/>
      <c r="I78" s="159"/>
      <c r="J78" s="159"/>
      <c r="K78" s="159"/>
      <c r="L78" s="159"/>
      <c r="M78" s="159"/>
      <c r="N78" s="159"/>
      <c r="O78" s="159"/>
      <c r="P78" s="159"/>
      <c r="Q78" s="159"/>
      <c r="R78" s="159"/>
      <c r="S78" s="159"/>
      <c r="T78" s="159"/>
    </row>
    <row r="79" spans="1:20" ht="15" customHeight="1">
      <c r="A79" s="159"/>
      <c r="B79" s="159"/>
      <c r="C79" s="159"/>
      <c r="D79" s="159"/>
      <c r="E79" s="159"/>
      <c r="F79" s="159"/>
      <c r="G79" s="159"/>
      <c r="H79" s="159"/>
      <c r="I79" s="159"/>
      <c r="J79" s="159"/>
      <c r="K79" s="159"/>
      <c r="L79" s="159"/>
      <c r="M79" s="159"/>
      <c r="N79" s="159"/>
      <c r="O79" s="159"/>
      <c r="P79" s="159"/>
      <c r="Q79" s="159"/>
      <c r="R79" s="159"/>
      <c r="S79" s="159"/>
      <c r="T79" s="159"/>
    </row>
    <row r="80" spans="1:20" ht="15" customHeight="1">
      <c r="A80" s="174" t="s">
        <v>982</v>
      </c>
      <c r="B80" s="159"/>
      <c r="C80" s="159"/>
      <c r="D80" s="159"/>
      <c r="E80" s="159"/>
      <c r="F80" s="159"/>
      <c r="G80" s="159"/>
      <c r="H80" s="159"/>
      <c r="I80" s="159"/>
      <c r="J80" s="159"/>
      <c r="K80" s="159"/>
      <c r="L80" s="159"/>
      <c r="M80" s="159"/>
      <c r="N80" s="159"/>
      <c r="O80" s="159"/>
      <c r="P80" s="159"/>
      <c r="Q80" s="159"/>
      <c r="R80" s="159"/>
      <c r="S80" s="159"/>
      <c r="T80" s="159"/>
    </row>
    <row r="81" spans="1:20" ht="15" customHeight="1">
      <c r="A81" s="159" t="s">
        <v>983</v>
      </c>
      <c r="B81" s="159"/>
      <c r="C81" s="159"/>
      <c r="D81" s="159"/>
      <c r="E81" s="159"/>
      <c r="F81" s="159"/>
      <c r="G81" s="159"/>
      <c r="H81" s="159"/>
      <c r="I81" s="159"/>
      <c r="J81" s="159"/>
      <c r="K81" s="159"/>
      <c r="L81" s="159"/>
      <c r="M81" s="159"/>
      <c r="N81" s="159"/>
      <c r="O81" s="159"/>
      <c r="P81" s="159"/>
      <c r="Q81" s="159"/>
      <c r="R81" s="159"/>
      <c r="S81" s="159"/>
      <c r="T81" s="159"/>
    </row>
    <row r="82" spans="1:20" ht="15" customHeight="1">
      <c r="A82" s="159" t="s">
        <v>984</v>
      </c>
      <c r="B82" s="159"/>
      <c r="C82" s="159"/>
      <c r="D82" s="159"/>
      <c r="E82" s="159"/>
      <c r="F82" s="159"/>
      <c r="G82" s="159"/>
      <c r="H82" s="159"/>
      <c r="I82" s="159"/>
      <c r="J82" s="159"/>
      <c r="K82" s="159"/>
      <c r="L82" s="159"/>
      <c r="M82" s="159"/>
      <c r="N82" s="159"/>
      <c r="O82" s="159"/>
      <c r="P82" s="159"/>
      <c r="Q82" s="159"/>
      <c r="R82" s="159"/>
      <c r="S82" s="159"/>
      <c r="T82" s="159"/>
    </row>
    <row r="83" spans="1:20" ht="15" customHeight="1">
      <c r="A83" s="159"/>
      <c r="B83" s="159"/>
      <c r="C83" s="159"/>
      <c r="D83" s="159"/>
      <c r="E83" s="159"/>
      <c r="F83" s="159"/>
      <c r="G83" s="159"/>
      <c r="H83" s="159"/>
      <c r="I83" s="159"/>
      <c r="J83" s="159"/>
      <c r="K83" s="159"/>
      <c r="L83" s="159"/>
      <c r="M83" s="159"/>
      <c r="N83" s="159"/>
      <c r="O83" s="159"/>
      <c r="P83" s="159"/>
      <c r="Q83" s="159"/>
      <c r="R83" s="159"/>
      <c r="S83" s="159"/>
      <c r="T83" s="159"/>
    </row>
    <row r="84" spans="1:20" ht="15" customHeight="1">
      <c r="A84" s="174" t="s">
        <v>985</v>
      </c>
      <c r="B84" s="159"/>
      <c r="C84" s="159"/>
      <c r="D84" s="159"/>
      <c r="E84" s="159"/>
      <c r="F84" s="159"/>
      <c r="G84" s="159"/>
      <c r="H84" s="159"/>
      <c r="I84" s="159"/>
      <c r="J84" s="159"/>
      <c r="K84" s="159"/>
      <c r="L84" s="159"/>
      <c r="M84" s="159"/>
      <c r="N84" s="159"/>
      <c r="O84" s="159"/>
      <c r="P84" s="159"/>
      <c r="Q84" s="159"/>
      <c r="R84" s="159"/>
      <c r="S84" s="159"/>
      <c r="T84" s="159"/>
    </row>
    <row r="85" spans="1:20" ht="15" customHeight="1">
      <c r="A85" s="169" t="s">
        <v>986</v>
      </c>
      <c r="B85" s="169" t="s">
        <v>987</v>
      </c>
      <c r="C85" s="159"/>
      <c r="D85" s="159"/>
      <c r="E85" s="159"/>
      <c r="F85" s="159"/>
      <c r="G85" s="159"/>
      <c r="H85" s="159"/>
      <c r="I85" s="159"/>
      <c r="J85" s="159"/>
      <c r="K85" s="159"/>
      <c r="L85" s="159"/>
      <c r="M85" s="159"/>
      <c r="N85" s="159"/>
      <c r="O85" s="159"/>
      <c r="P85" s="159"/>
      <c r="Q85" s="159"/>
      <c r="R85" s="159"/>
      <c r="S85" s="159"/>
      <c r="T85" s="159"/>
    </row>
    <row r="86" spans="1:20" ht="15" customHeight="1">
      <c r="A86" s="159" t="s">
        <v>988</v>
      </c>
      <c r="B86" s="159" t="s">
        <v>989</v>
      </c>
      <c r="C86" s="159"/>
      <c r="D86" s="159"/>
      <c r="E86" s="159"/>
      <c r="F86" s="159"/>
      <c r="G86" s="159"/>
      <c r="H86" s="159"/>
      <c r="I86" s="159"/>
      <c r="J86" s="159"/>
      <c r="K86" s="159"/>
      <c r="L86" s="159"/>
      <c r="M86" s="159"/>
      <c r="N86" s="159"/>
      <c r="O86" s="159"/>
      <c r="P86" s="159"/>
      <c r="Q86" s="159"/>
      <c r="R86" s="159"/>
      <c r="S86" s="159"/>
      <c r="T86" s="159"/>
    </row>
    <row r="87" spans="1:20" ht="15" customHeight="1">
      <c r="A87" s="159" t="s">
        <v>990</v>
      </c>
      <c r="B87" s="159" t="s">
        <v>991</v>
      </c>
      <c r="C87" s="159"/>
      <c r="D87" s="159"/>
      <c r="E87" s="159"/>
      <c r="F87" s="159"/>
      <c r="G87" s="159"/>
      <c r="H87" s="159"/>
      <c r="I87" s="159"/>
      <c r="J87" s="159"/>
      <c r="K87" s="159"/>
      <c r="L87" s="159"/>
      <c r="M87" s="159"/>
      <c r="N87" s="159"/>
      <c r="O87" s="159"/>
      <c r="P87" s="159"/>
      <c r="Q87" s="159"/>
      <c r="R87" s="159"/>
      <c r="S87" s="159"/>
      <c r="T87" s="159"/>
    </row>
    <row r="88" spans="1:20" ht="15" customHeight="1">
      <c r="A88" s="159"/>
      <c r="B88" s="159"/>
      <c r="C88" s="159"/>
      <c r="D88" s="159"/>
      <c r="E88" s="159"/>
      <c r="F88" s="159"/>
      <c r="G88" s="159"/>
      <c r="H88" s="159"/>
      <c r="I88" s="159"/>
      <c r="J88" s="159"/>
      <c r="K88" s="159"/>
      <c r="L88" s="159"/>
      <c r="M88" s="159"/>
      <c r="N88" s="159"/>
      <c r="O88" s="159"/>
      <c r="P88" s="159"/>
      <c r="Q88" s="159"/>
      <c r="R88" s="159"/>
      <c r="S88" s="159"/>
      <c r="T88" s="159"/>
    </row>
    <row r="89" spans="1:20" ht="15" customHeight="1">
      <c r="A89" s="174" t="s">
        <v>992</v>
      </c>
      <c r="B89" s="159"/>
      <c r="C89" s="159"/>
      <c r="D89" s="159"/>
      <c r="E89" s="159"/>
      <c r="F89" s="159"/>
      <c r="G89" s="159"/>
      <c r="H89" s="159"/>
      <c r="I89" s="159"/>
      <c r="J89" s="159"/>
      <c r="K89" s="159"/>
      <c r="L89" s="159"/>
      <c r="M89" s="159"/>
      <c r="N89" s="159"/>
      <c r="O89" s="159"/>
      <c r="P89" s="159"/>
      <c r="Q89" s="159"/>
      <c r="R89" s="159"/>
      <c r="S89" s="159"/>
      <c r="T89" s="159"/>
    </row>
    <row r="90" spans="1:20" ht="15" customHeight="1">
      <c r="A90" s="159" t="s">
        <v>993</v>
      </c>
      <c r="B90" s="159"/>
      <c r="C90" s="159"/>
      <c r="D90" s="159"/>
      <c r="E90" s="159"/>
      <c r="F90" s="159"/>
      <c r="G90" s="159"/>
      <c r="H90" s="159"/>
      <c r="I90" s="159"/>
      <c r="J90" s="159"/>
      <c r="K90" s="159"/>
      <c r="L90" s="159"/>
      <c r="M90" s="159"/>
      <c r="N90" s="159"/>
      <c r="O90" s="159"/>
      <c r="P90" s="159"/>
      <c r="Q90" s="159"/>
      <c r="R90" s="159"/>
      <c r="S90" s="159"/>
      <c r="T90" s="159"/>
    </row>
    <row r="91" spans="1:20" ht="15" customHeight="1">
      <c r="A91" s="159"/>
      <c r="B91" s="159"/>
      <c r="C91" s="159"/>
      <c r="D91" s="159"/>
      <c r="E91" s="159"/>
      <c r="F91" s="159"/>
      <c r="G91" s="159"/>
      <c r="H91" s="159"/>
      <c r="I91" s="159"/>
      <c r="J91" s="159"/>
      <c r="K91" s="159"/>
      <c r="L91" s="159"/>
      <c r="M91" s="159"/>
      <c r="N91" s="159"/>
      <c r="O91" s="159"/>
      <c r="P91" s="159"/>
      <c r="Q91" s="159"/>
      <c r="R91" s="159"/>
      <c r="S91" s="159"/>
      <c r="T91" s="159"/>
    </row>
    <row r="92" spans="1:20" ht="15" customHeight="1">
      <c r="A92" s="174" t="s">
        <v>994</v>
      </c>
      <c r="B92" s="159"/>
      <c r="C92" s="159"/>
      <c r="D92" s="159"/>
      <c r="E92" s="159"/>
      <c r="F92" s="159"/>
      <c r="G92" s="159"/>
      <c r="H92" s="159"/>
      <c r="I92" s="159"/>
      <c r="J92" s="159"/>
      <c r="K92" s="159"/>
      <c r="L92" s="159"/>
      <c r="M92" s="159"/>
      <c r="N92" s="159"/>
      <c r="O92" s="159"/>
      <c r="P92" s="159"/>
      <c r="Q92" s="159"/>
      <c r="R92" s="159"/>
      <c r="S92" s="159"/>
      <c r="T92" s="159"/>
    </row>
    <row r="93" spans="1:20" ht="15" customHeight="1">
      <c r="A93" s="159" t="s">
        <v>995</v>
      </c>
      <c r="B93" s="159"/>
      <c r="C93" s="159"/>
      <c r="D93" s="159"/>
      <c r="E93" s="159"/>
      <c r="F93" s="159"/>
      <c r="G93" s="159"/>
      <c r="H93" s="159"/>
      <c r="I93" s="159"/>
      <c r="J93" s="159"/>
      <c r="K93" s="159"/>
      <c r="L93" s="159"/>
      <c r="M93" s="159"/>
      <c r="N93" s="159"/>
      <c r="O93" s="159"/>
      <c r="P93" s="159"/>
      <c r="Q93" s="159"/>
      <c r="R93" s="159"/>
      <c r="S93" s="159"/>
      <c r="T93" s="159"/>
    </row>
    <row r="94" spans="1:20" ht="15" customHeight="1">
      <c r="A94" s="159" t="s">
        <v>996</v>
      </c>
      <c r="B94" s="159"/>
      <c r="C94" s="159"/>
      <c r="D94" s="159"/>
      <c r="E94" s="159"/>
      <c r="F94" s="159"/>
      <c r="G94" s="159"/>
      <c r="H94" s="159"/>
      <c r="I94" s="159"/>
      <c r="J94" s="159"/>
      <c r="K94" s="159"/>
      <c r="L94" s="159"/>
      <c r="M94" s="159"/>
      <c r="N94" s="159"/>
      <c r="O94" s="159"/>
      <c r="P94" s="159"/>
      <c r="Q94" s="159"/>
      <c r="R94" s="159"/>
      <c r="S94" s="159"/>
      <c r="T94" s="159"/>
    </row>
    <row r="95" spans="1:20" ht="15" customHeight="1">
      <c r="A95" s="159" t="s">
        <v>997</v>
      </c>
      <c r="B95" s="159"/>
      <c r="C95" s="159"/>
      <c r="D95" s="159"/>
      <c r="E95" s="159"/>
      <c r="F95" s="159"/>
      <c r="G95" s="159"/>
      <c r="H95" s="159"/>
      <c r="I95" s="159"/>
      <c r="J95" s="159"/>
      <c r="K95" s="159"/>
      <c r="L95" s="159"/>
      <c r="M95" s="159"/>
      <c r="N95" s="159"/>
      <c r="O95" s="159"/>
      <c r="P95" s="159"/>
      <c r="Q95" s="159"/>
      <c r="R95" s="159"/>
      <c r="S95" s="159"/>
      <c r="T95" s="159"/>
    </row>
    <row r="96" spans="1:20" ht="15" customHeight="1">
      <c r="A96" s="159"/>
      <c r="B96" s="159"/>
      <c r="C96" s="159"/>
      <c r="D96" s="159"/>
      <c r="E96" s="159"/>
      <c r="F96" s="159"/>
      <c r="G96" s="159"/>
      <c r="H96" s="159"/>
      <c r="I96" s="159"/>
      <c r="J96" s="159"/>
      <c r="K96" s="159"/>
      <c r="L96" s="159"/>
      <c r="M96" s="159"/>
      <c r="N96" s="159"/>
      <c r="O96" s="159"/>
      <c r="P96" s="159"/>
      <c r="Q96" s="159"/>
      <c r="R96" s="159"/>
      <c r="S96" s="159"/>
      <c r="T96" s="159"/>
    </row>
    <row r="97" spans="1:20" ht="15" customHeight="1">
      <c r="A97" s="159"/>
      <c r="B97" s="159"/>
      <c r="C97" s="159"/>
      <c r="D97" s="159"/>
      <c r="E97" s="159"/>
      <c r="F97" s="159"/>
      <c r="G97" s="159"/>
      <c r="H97" s="159"/>
      <c r="I97" s="159"/>
      <c r="J97" s="159"/>
      <c r="K97" s="159"/>
      <c r="L97" s="159"/>
      <c r="M97" s="159"/>
      <c r="N97" s="159"/>
      <c r="O97" s="159"/>
      <c r="P97" s="159"/>
      <c r="Q97" s="159"/>
      <c r="R97" s="159"/>
      <c r="S97" s="159"/>
      <c r="T97" s="159"/>
    </row>
    <row r="98" spans="1:20" ht="15" customHeight="1">
      <c r="A98" s="159"/>
      <c r="B98" s="159"/>
      <c r="C98" s="159"/>
      <c r="D98" s="159"/>
      <c r="E98" s="159"/>
      <c r="F98" s="159"/>
      <c r="G98" s="159"/>
      <c r="H98" s="159"/>
      <c r="I98" s="159"/>
      <c r="J98" s="159"/>
      <c r="K98" s="159"/>
      <c r="L98" s="159"/>
      <c r="M98" s="159"/>
      <c r="N98" s="159"/>
      <c r="O98" s="159"/>
      <c r="P98" s="159"/>
      <c r="Q98" s="159"/>
      <c r="R98" s="159"/>
      <c r="S98" s="159"/>
      <c r="T98" s="159"/>
    </row>
    <row r="99" spans="1:20" ht="15" customHeight="1">
      <c r="A99" s="159"/>
      <c r="B99" s="159"/>
      <c r="C99" s="159"/>
      <c r="D99" s="159"/>
      <c r="E99" s="159"/>
      <c r="F99" s="159"/>
      <c r="G99" s="159"/>
      <c r="H99" s="159"/>
      <c r="I99" s="159"/>
      <c r="J99" s="159"/>
      <c r="K99" s="159"/>
      <c r="L99" s="159"/>
      <c r="M99" s="159"/>
      <c r="N99" s="159"/>
      <c r="O99" s="159"/>
      <c r="P99" s="159"/>
      <c r="Q99" s="159"/>
      <c r="R99" s="159"/>
      <c r="S99" s="159"/>
      <c r="T99" s="159"/>
    </row>
    <row r="100" spans="1:20" ht="15" customHeight="1">
      <c r="A100" s="159"/>
      <c r="B100" s="159"/>
      <c r="C100" s="159"/>
      <c r="D100" s="159"/>
      <c r="E100" s="159"/>
      <c r="F100" s="159"/>
      <c r="G100" s="159"/>
      <c r="H100" s="159"/>
      <c r="I100" s="159"/>
      <c r="J100" s="159"/>
      <c r="K100" s="159"/>
      <c r="L100" s="159"/>
      <c r="M100" s="159"/>
      <c r="N100" s="159"/>
      <c r="O100" s="159"/>
      <c r="P100" s="159"/>
      <c r="Q100" s="159"/>
      <c r="R100" s="159"/>
      <c r="S100" s="159"/>
      <c r="T100" s="159"/>
    </row>
    <row r="101" spans="1:20" ht="15" customHeight="1">
      <c r="A101" s="159"/>
      <c r="B101" s="159"/>
      <c r="C101" s="159"/>
      <c r="D101" s="159"/>
      <c r="E101" s="159"/>
      <c r="F101" s="159"/>
      <c r="G101" s="159"/>
      <c r="H101" s="159"/>
      <c r="I101" s="159"/>
      <c r="J101" s="159"/>
      <c r="K101" s="159"/>
      <c r="L101" s="159"/>
      <c r="M101" s="159"/>
      <c r="N101" s="159"/>
      <c r="O101" s="159"/>
      <c r="P101" s="159"/>
      <c r="Q101" s="159"/>
      <c r="R101" s="159"/>
      <c r="S101" s="159"/>
      <c r="T101" s="159"/>
    </row>
    <row r="102" spans="1:20" ht="15" customHeight="1">
      <c r="A102" s="159"/>
      <c r="B102" s="159"/>
      <c r="C102" s="159"/>
      <c r="D102" s="159"/>
      <c r="E102" s="159"/>
      <c r="F102" s="159"/>
      <c r="G102" s="159"/>
      <c r="H102" s="159"/>
      <c r="I102" s="159"/>
      <c r="J102" s="159"/>
      <c r="K102" s="159"/>
      <c r="L102" s="159"/>
      <c r="M102" s="159"/>
      <c r="N102" s="159"/>
      <c r="O102" s="159"/>
      <c r="P102" s="159"/>
      <c r="Q102" s="159"/>
      <c r="R102" s="159"/>
      <c r="S102" s="159"/>
      <c r="T102" s="159"/>
    </row>
    <row r="103" spans="1:20" ht="15" customHeight="1">
      <c r="A103" s="159"/>
      <c r="B103" s="159"/>
      <c r="C103" s="159"/>
      <c r="D103" s="159"/>
      <c r="E103" s="159"/>
      <c r="F103" s="159"/>
      <c r="G103" s="159"/>
      <c r="H103" s="159"/>
      <c r="I103" s="159"/>
      <c r="J103" s="159"/>
      <c r="K103" s="159"/>
      <c r="L103" s="159"/>
      <c r="M103" s="159"/>
      <c r="N103" s="159"/>
      <c r="O103" s="159"/>
      <c r="P103" s="159"/>
      <c r="Q103" s="159"/>
      <c r="R103" s="159"/>
      <c r="S103" s="159"/>
      <c r="T103" s="159"/>
    </row>
    <row r="104" spans="1:20" ht="15" customHeight="1">
      <c r="A104" s="159"/>
      <c r="B104" s="159"/>
      <c r="C104" s="159"/>
      <c r="D104" s="159"/>
      <c r="E104" s="159"/>
      <c r="F104" s="159"/>
      <c r="G104" s="159"/>
      <c r="H104" s="159"/>
      <c r="I104" s="159"/>
      <c r="J104" s="159"/>
      <c r="K104" s="159"/>
      <c r="L104" s="159"/>
      <c r="M104" s="159"/>
      <c r="N104" s="159"/>
      <c r="O104" s="159"/>
      <c r="P104" s="159"/>
      <c r="Q104" s="159"/>
      <c r="R104" s="159"/>
      <c r="S104" s="159"/>
      <c r="T104" s="159"/>
    </row>
    <row r="105" spans="1:20" ht="15" customHeight="1">
      <c r="A105" s="159"/>
      <c r="B105" s="159"/>
      <c r="C105" s="159"/>
      <c r="D105" s="159"/>
      <c r="E105" s="159"/>
      <c r="F105" s="159"/>
      <c r="G105" s="159"/>
      <c r="H105" s="159"/>
      <c r="I105" s="159"/>
      <c r="J105" s="159"/>
      <c r="K105" s="159"/>
      <c r="L105" s="159"/>
      <c r="M105" s="159"/>
      <c r="N105" s="159"/>
      <c r="O105" s="159"/>
      <c r="P105" s="159"/>
      <c r="Q105" s="159"/>
      <c r="R105" s="159"/>
      <c r="S105" s="159"/>
      <c r="T105" s="159"/>
    </row>
    <row r="106" spans="1:20" ht="15" customHeight="1">
      <c r="A106" s="159"/>
      <c r="B106" s="159"/>
      <c r="C106" s="159"/>
      <c r="D106" s="159"/>
      <c r="E106" s="159"/>
      <c r="F106" s="159"/>
      <c r="G106" s="159"/>
      <c r="H106" s="159"/>
      <c r="I106" s="159"/>
      <c r="J106" s="159"/>
      <c r="K106" s="159"/>
      <c r="L106" s="159"/>
      <c r="M106" s="159"/>
      <c r="N106" s="159"/>
      <c r="O106" s="159"/>
      <c r="P106" s="159"/>
      <c r="Q106" s="159"/>
      <c r="R106" s="159"/>
      <c r="S106" s="159"/>
      <c r="T106" s="159"/>
    </row>
    <row r="107" spans="1:20" ht="15" customHeight="1">
      <c r="A107" s="159"/>
      <c r="B107" s="159"/>
      <c r="C107" s="159"/>
      <c r="D107" s="159"/>
      <c r="E107" s="159"/>
      <c r="F107" s="159"/>
      <c r="G107" s="159"/>
      <c r="H107" s="159"/>
      <c r="I107" s="159"/>
      <c r="J107" s="159"/>
      <c r="K107" s="159"/>
      <c r="L107" s="159"/>
      <c r="M107" s="159"/>
      <c r="N107" s="159"/>
      <c r="O107" s="159"/>
      <c r="P107" s="159"/>
      <c r="Q107" s="159"/>
      <c r="R107" s="159"/>
      <c r="S107" s="159"/>
      <c r="T107" s="159"/>
    </row>
    <row r="108" spans="1:20" ht="15" customHeight="1">
      <c r="A108" s="159"/>
      <c r="B108" s="159"/>
      <c r="C108" s="159"/>
      <c r="D108" s="159"/>
      <c r="E108" s="159"/>
      <c r="F108" s="159"/>
      <c r="G108" s="159"/>
      <c r="H108" s="159"/>
      <c r="I108" s="159"/>
      <c r="J108" s="159"/>
      <c r="K108" s="159"/>
      <c r="L108" s="159"/>
      <c r="M108" s="159"/>
      <c r="N108" s="159"/>
      <c r="O108" s="159"/>
      <c r="P108" s="159"/>
      <c r="Q108" s="159"/>
      <c r="R108" s="159"/>
      <c r="S108" s="159"/>
      <c r="T108" s="159"/>
    </row>
    <row r="109" spans="1:20" ht="15" customHeight="1">
      <c r="A109" s="159"/>
      <c r="B109" s="159"/>
      <c r="C109" s="159"/>
      <c r="D109" s="159"/>
      <c r="E109" s="159"/>
      <c r="F109" s="159"/>
      <c r="G109" s="159"/>
      <c r="H109" s="159"/>
      <c r="I109" s="159"/>
      <c r="J109" s="159"/>
      <c r="K109" s="159"/>
      <c r="L109" s="159"/>
      <c r="M109" s="159"/>
      <c r="N109" s="159"/>
      <c r="O109" s="159"/>
      <c r="P109" s="159"/>
      <c r="Q109" s="159"/>
      <c r="R109" s="159"/>
      <c r="S109" s="159"/>
      <c r="T109" s="159"/>
    </row>
    <row r="110" spans="1:20" ht="15" customHeight="1">
      <c r="A110" s="159"/>
      <c r="B110" s="159"/>
      <c r="C110" s="159"/>
      <c r="D110" s="159"/>
      <c r="E110" s="159"/>
      <c r="F110" s="159"/>
      <c r="G110" s="159"/>
      <c r="H110" s="159"/>
      <c r="I110" s="159"/>
      <c r="J110" s="159"/>
      <c r="K110" s="159"/>
      <c r="L110" s="159"/>
      <c r="M110" s="159"/>
      <c r="N110" s="159"/>
      <c r="O110" s="159"/>
      <c r="P110" s="159"/>
      <c r="Q110" s="159"/>
      <c r="R110" s="159"/>
      <c r="S110" s="159"/>
      <c r="T110" s="159"/>
    </row>
    <row r="111" spans="1:20" ht="15" customHeight="1">
      <c r="A111" s="159"/>
      <c r="B111" s="159"/>
      <c r="C111" s="159"/>
      <c r="D111" s="159"/>
      <c r="E111" s="159"/>
      <c r="F111" s="159"/>
      <c r="G111" s="159"/>
      <c r="H111" s="159"/>
      <c r="I111" s="159"/>
      <c r="J111" s="159"/>
      <c r="K111" s="159"/>
      <c r="L111" s="159"/>
      <c r="M111" s="159"/>
      <c r="N111" s="159"/>
      <c r="O111" s="159"/>
      <c r="P111" s="159"/>
      <c r="Q111" s="159"/>
      <c r="R111" s="159"/>
      <c r="S111" s="159"/>
      <c r="T111" s="159"/>
    </row>
    <row r="112" spans="1:20" ht="15" customHeight="1">
      <c r="A112" s="159"/>
      <c r="B112" s="159"/>
      <c r="C112" s="159"/>
      <c r="D112" s="159"/>
      <c r="E112" s="159"/>
      <c r="F112" s="159"/>
      <c r="G112" s="159"/>
      <c r="H112" s="159"/>
      <c r="I112" s="159"/>
      <c r="J112" s="159"/>
      <c r="K112" s="159"/>
      <c r="L112" s="159"/>
      <c r="M112" s="159"/>
      <c r="N112" s="159"/>
      <c r="O112" s="159"/>
      <c r="P112" s="159"/>
      <c r="Q112" s="159"/>
      <c r="R112" s="159"/>
      <c r="S112" s="159"/>
      <c r="T112" s="159"/>
    </row>
    <row r="113" spans="1:20" ht="15" customHeight="1">
      <c r="A113" s="159"/>
      <c r="B113" s="159"/>
      <c r="C113" s="159"/>
      <c r="D113" s="159"/>
      <c r="E113" s="159"/>
      <c r="F113" s="159"/>
      <c r="G113" s="159"/>
      <c r="H113" s="159"/>
      <c r="I113" s="159"/>
      <c r="J113" s="159"/>
      <c r="K113" s="159"/>
      <c r="L113" s="159"/>
      <c r="M113" s="159"/>
      <c r="N113" s="159"/>
      <c r="O113" s="159"/>
      <c r="P113" s="159"/>
      <c r="Q113" s="159"/>
      <c r="R113" s="159"/>
      <c r="S113" s="159"/>
      <c r="T113" s="159"/>
    </row>
    <row r="114" spans="1:20">
      <c r="A114" s="159"/>
      <c r="B114" s="159"/>
      <c r="C114" s="159"/>
      <c r="D114" s="159"/>
      <c r="E114" s="159"/>
      <c r="F114" s="159"/>
      <c r="G114" s="159"/>
      <c r="H114" s="159"/>
      <c r="I114" s="159"/>
      <c r="J114" s="159"/>
      <c r="K114" s="159"/>
      <c r="L114" s="159"/>
      <c r="M114" s="159"/>
      <c r="N114" s="159"/>
      <c r="O114" s="159"/>
      <c r="P114" s="159"/>
      <c r="Q114" s="159"/>
      <c r="R114" s="159"/>
      <c r="S114" s="159"/>
      <c r="T114" s="159"/>
    </row>
    <row r="115" spans="1:20">
      <c r="A115" s="159"/>
      <c r="B115" s="159"/>
      <c r="C115" s="159"/>
      <c r="D115" s="159"/>
      <c r="E115" s="159"/>
      <c r="F115" s="159"/>
      <c r="G115" s="159"/>
      <c r="H115" s="159"/>
      <c r="I115" s="159"/>
      <c r="J115" s="159"/>
      <c r="K115" s="159"/>
      <c r="L115" s="159"/>
      <c r="M115" s="159"/>
      <c r="N115" s="159"/>
      <c r="O115" s="159"/>
      <c r="P115" s="159"/>
      <c r="Q115" s="159"/>
      <c r="R115" s="159"/>
      <c r="S115" s="159"/>
      <c r="T115" s="159"/>
    </row>
    <row r="116" spans="1:20">
      <c r="A116" s="159"/>
      <c r="B116" s="159"/>
      <c r="C116" s="159"/>
      <c r="D116" s="159"/>
      <c r="E116" s="159"/>
      <c r="F116" s="159"/>
      <c r="G116" s="159"/>
      <c r="H116" s="159"/>
      <c r="I116" s="159"/>
      <c r="J116" s="159"/>
      <c r="K116" s="159"/>
      <c r="L116" s="159"/>
      <c r="M116" s="159"/>
      <c r="N116" s="159"/>
      <c r="O116" s="159"/>
      <c r="P116" s="159"/>
      <c r="Q116" s="159"/>
      <c r="R116" s="159"/>
      <c r="S116" s="159"/>
      <c r="T116" s="159"/>
    </row>
    <row r="117" spans="1:20">
      <c r="A117" s="159"/>
      <c r="B117" s="159"/>
      <c r="C117" s="159"/>
      <c r="D117" s="159"/>
      <c r="E117" s="159"/>
      <c r="F117" s="159"/>
      <c r="G117" s="159"/>
      <c r="H117" s="159"/>
      <c r="I117" s="159"/>
      <c r="J117" s="159"/>
      <c r="K117" s="159"/>
      <c r="L117" s="159"/>
      <c r="M117" s="159"/>
      <c r="N117" s="159"/>
      <c r="O117" s="159"/>
      <c r="P117" s="159"/>
      <c r="Q117" s="159"/>
      <c r="R117" s="159"/>
      <c r="S117" s="159"/>
      <c r="T117" s="159"/>
    </row>
    <row r="118" spans="1:20">
      <c r="A118" s="159"/>
      <c r="B118" s="159"/>
      <c r="C118" s="159"/>
      <c r="D118" s="159"/>
      <c r="E118" s="159"/>
      <c r="F118" s="159"/>
      <c r="G118" s="159"/>
      <c r="H118" s="159"/>
      <c r="I118" s="159"/>
      <c r="J118" s="159"/>
      <c r="K118" s="159"/>
      <c r="L118" s="159"/>
      <c r="M118" s="159"/>
      <c r="N118" s="159"/>
      <c r="O118" s="159"/>
      <c r="P118" s="159"/>
      <c r="Q118" s="159"/>
      <c r="R118" s="159"/>
      <c r="S118" s="159"/>
      <c r="T118" s="159"/>
    </row>
    <row r="119" spans="1:20">
      <c r="A119" s="159"/>
      <c r="B119" s="159"/>
      <c r="C119" s="159"/>
      <c r="D119" s="159"/>
      <c r="E119" s="159"/>
      <c r="F119" s="159"/>
      <c r="G119" s="159"/>
      <c r="H119" s="159"/>
      <c r="I119" s="159"/>
      <c r="J119" s="159"/>
      <c r="K119" s="159"/>
      <c r="L119" s="159"/>
      <c r="M119" s="159"/>
      <c r="N119" s="159"/>
      <c r="O119" s="159"/>
      <c r="P119" s="159"/>
      <c r="Q119" s="159"/>
      <c r="R119" s="159"/>
      <c r="S119" s="159"/>
      <c r="T119" s="159"/>
    </row>
    <row r="120" spans="1:20">
      <c r="A120" s="159"/>
      <c r="B120" s="159"/>
      <c r="C120" s="159"/>
      <c r="D120" s="159"/>
      <c r="E120" s="159"/>
      <c r="F120" s="159"/>
      <c r="G120" s="159"/>
      <c r="H120" s="159"/>
      <c r="I120" s="159"/>
      <c r="J120" s="159"/>
      <c r="K120" s="159"/>
      <c r="L120" s="159"/>
      <c r="M120" s="159"/>
      <c r="N120" s="159"/>
      <c r="O120" s="159"/>
      <c r="P120" s="159"/>
      <c r="Q120" s="159"/>
      <c r="R120" s="159"/>
      <c r="S120" s="159"/>
      <c r="T120" s="159"/>
    </row>
  </sheetData>
  <conditionalFormatting sqref="A35:B39">
    <cfRule type="expression" dxfId="1" priority="1">
      <formula>LEN($A35)&gt;0</formula>
    </cfRule>
  </conditionalFormatting>
  <conditionalFormatting sqref="A40:B40">
    <cfRule type="expression" dxfId="0" priority="6">
      <formula>LEN($A40)&gt;0</formula>
    </cfRule>
  </conditionalFormatting>
  <pageMargins left="0.75" right="0.75" top="1" bottom="1" header="0.5" footer="0.5"/>
  <legacyDrawing r:id="rId1"/>
  <extLst>
    <ext xmlns:x14="http://schemas.microsoft.com/office/spreadsheetml/2009/9/main" uri="{CCE6A557-97BC-4b89-ADB6-D9C93CAAB3DF}">
      <x14:dataValidations xmlns:xm="http://schemas.microsoft.com/office/excel/2006/main" count="7">
        <x14:dataValidation type="list" allowBlank="1" xr:uid="{00000000-0002-0000-0700-000000000000}">
          <x14:formula1>
            <xm:f>_Lookups!$AD$2:$AD$6</xm:f>
          </x14:formula1>
          <xm:sqref>B4</xm:sqref>
        </x14:dataValidation>
        <x14:dataValidation type="list" allowBlank="1" xr:uid="{00000000-0002-0000-0700-000001000000}">
          <x14:formula1>
            <xm:f>_Lookups!$AE$2:$AE$11</xm:f>
          </x14:formula1>
          <xm:sqref>B5</xm:sqref>
        </x14:dataValidation>
        <x14:dataValidation type="list" allowBlank="1" xr:uid="{00000000-0002-0000-0700-000002000000}">
          <x14:formula1>
            <xm:f>_Lookups!$AF$2:$AF$9</xm:f>
          </x14:formula1>
          <xm:sqref>B6</xm:sqref>
        </x14:dataValidation>
        <x14:dataValidation type="list" allowBlank="1" xr:uid="{00000000-0002-0000-0700-000003000000}">
          <x14:formula1>
            <xm:f>_Lookups!$AG$2:$AG$6</xm:f>
          </x14:formula1>
          <xm:sqref>B9</xm:sqref>
        </x14:dataValidation>
        <x14:dataValidation type="list" allowBlank="1" xr:uid="{00000000-0002-0000-0700-000004000000}">
          <x14:formula1>
            <xm:f>_Lookups!$AH$2:$AH$6</xm:f>
          </x14:formula1>
          <xm:sqref>B8</xm:sqref>
        </x14:dataValidation>
        <x14:dataValidation type="list" allowBlank="1" xr:uid="{00000000-0002-0000-0700-000005000000}">
          <x14:formula1>
            <xm:f>_Lookups!$AI$2:$AI$7</xm:f>
          </x14:formula1>
          <xm:sqref>B10</xm:sqref>
        </x14:dataValidation>
        <x14:dataValidation type="list" allowBlank="1" xr:uid="{00000000-0002-0000-0700-000006000000}">
          <x14:formula1>
            <xm:f>_Lookups!$AJ$2:$AJ$6</xm:f>
          </x14:formula1>
          <xm:sqref>B11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7"/>
  <sheetViews>
    <sheetView zoomScale="120" workbookViewId="0"/>
  </sheetViews>
  <sheetFormatPr baseColWidth="10" defaultColWidth="8.83203125" defaultRowHeight="15"/>
  <cols>
    <col min="1" max="1" width="28" customWidth="1"/>
    <col min="2" max="2" width="45" customWidth="1"/>
  </cols>
  <sheetData>
    <row r="1" spans="1:3" ht="21" customHeight="1">
      <c r="A1" s="176" t="s">
        <v>998</v>
      </c>
    </row>
    <row r="2" spans="1:3">
      <c r="A2" s="1" t="s">
        <v>999</v>
      </c>
    </row>
    <row r="4" spans="1:3">
      <c r="A4" s="5" t="s">
        <v>1000</v>
      </c>
      <c r="B4" s="5" t="s">
        <v>1001</v>
      </c>
      <c r="C4" s="5" t="s">
        <v>1002</v>
      </c>
    </row>
    <row r="5" spans="1:3">
      <c r="A5" s="217" t="s">
        <v>1003</v>
      </c>
      <c r="B5" s="214"/>
      <c r="C5" s="214"/>
    </row>
    <row r="7" spans="1:3" ht="45" customHeight="1">
      <c r="A7" s="177" t="s">
        <v>1004</v>
      </c>
      <c r="B7" s="11" t="s">
        <v>1005</v>
      </c>
      <c r="C7" s="11" t="s">
        <v>1006</v>
      </c>
    </row>
    <row r="8" spans="1:3" ht="45" customHeight="1">
      <c r="A8" s="177" t="s">
        <v>1007</v>
      </c>
      <c r="B8" s="11" t="s">
        <v>1008</v>
      </c>
      <c r="C8" s="11" t="s">
        <v>1009</v>
      </c>
    </row>
    <row r="9" spans="1:3" ht="45" customHeight="1">
      <c r="A9" s="177" t="s">
        <v>1010</v>
      </c>
      <c r="B9" s="11" t="s">
        <v>1011</v>
      </c>
      <c r="C9" s="11" t="s">
        <v>1012</v>
      </c>
    </row>
    <row r="10" spans="1:3" ht="45" customHeight="1">
      <c r="A10" s="177" t="s">
        <v>1013</v>
      </c>
      <c r="B10" s="11" t="s">
        <v>1014</v>
      </c>
      <c r="C10" s="11" t="s">
        <v>1015</v>
      </c>
    </row>
    <row r="11" spans="1:3" ht="45" customHeight="1">
      <c r="A11" s="177" t="s">
        <v>1016</v>
      </c>
      <c r="B11" s="11" t="s">
        <v>1017</v>
      </c>
      <c r="C11" s="11" t="s">
        <v>1018</v>
      </c>
    </row>
    <row r="12" spans="1:3" ht="45" customHeight="1">
      <c r="A12" s="177" t="s">
        <v>1019</v>
      </c>
      <c r="B12" s="11" t="s">
        <v>1020</v>
      </c>
      <c r="C12" s="11" t="s">
        <v>1021</v>
      </c>
    </row>
    <row r="13" spans="1:3" ht="45" customHeight="1">
      <c r="A13" s="177" t="s">
        <v>1022</v>
      </c>
      <c r="B13" s="11" t="s">
        <v>1023</v>
      </c>
      <c r="C13" s="11" t="s">
        <v>1024</v>
      </c>
    </row>
    <row r="15" spans="1:3">
      <c r="A15" s="217" t="s">
        <v>1025</v>
      </c>
      <c r="B15" s="214"/>
      <c r="C15" s="214"/>
    </row>
    <row r="17" spans="1:3" ht="45" customHeight="1">
      <c r="A17" s="177" t="s">
        <v>1026</v>
      </c>
      <c r="B17" s="11" t="s">
        <v>1027</v>
      </c>
      <c r="C17" s="11" t="s">
        <v>1028</v>
      </c>
    </row>
    <row r="18" spans="1:3" ht="45" customHeight="1">
      <c r="A18" s="177" t="s">
        <v>1029</v>
      </c>
      <c r="B18" s="11" t="s">
        <v>1030</v>
      </c>
      <c r="C18" s="11" t="s">
        <v>1031</v>
      </c>
    </row>
    <row r="19" spans="1:3" ht="45" customHeight="1">
      <c r="A19" s="177" t="s">
        <v>1032</v>
      </c>
      <c r="B19" s="11" t="s">
        <v>1033</v>
      </c>
      <c r="C19" s="11" t="s">
        <v>1034</v>
      </c>
    </row>
    <row r="20" spans="1:3" ht="45" customHeight="1">
      <c r="A20" s="177" t="s">
        <v>1035</v>
      </c>
      <c r="B20" s="11" t="s">
        <v>1036</v>
      </c>
      <c r="C20" s="11" t="s">
        <v>1037</v>
      </c>
    </row>
    <row r="21" spans="1:3" ht="45" customHeight="1">
      <c r="A21" s="177" t="s">
        <v>1038</v>
      </c>
      <c r="B21" s="11" t="s">
        <v>1039</v>
      </c>
      <c r="C21" s="11" t="s">
        <v>1040</v>
      </c>
    </row>
    <row r="23" spans="1:3">
      <c r="A23" s="217" t="s">
        <v>1041</v>
      </c>
      <c r="B23" s="214"/>
      <c r="C23" s="214"/>
    </row>
    <row r="25" spans="1:3" ht="45" customHeight="1">
      <c r="A25" s="177" t="s">
        <v>1042</v>
      </c>
      <c r="B25" s="11" t="s">
        <v>1043</v>
      </c>
      <c r="C25" s="11" t="s">
        <v>1044</v>
      </c>
    </row>
    <row r="26" spans="1:3" ht="45" customHeight="1">
      <c r="A26" s="177" t="s">
        <v>1045</v>
      </c>
      <c r="B26" s="11" t="s">
        <v>1046</v>
      </c>
      <c r="C26" s="11" t="s">
        <v>1047</v>
      </c>
    </row>
    <row r="27" spans="1:3" ht="45" customHeight="1">
      <c r="A27" s="177" t="s">
        <v>1048</v>
      </c>
      <c r="B27" s="11" t="s">
        <v>1049</v>
      </c>
      <c r="C27" s="11" t="s">
        <v>1050</v>
      </c>
    </row>
    <row r="28" spans="1:3" ht="45" customHeight="1">
      <c r="A28" s="177" t="s">
        <v>1051</v>
      </c>
      <c r="B28" s="11" t="s">
        <v>1052</v>
      </c>
      <c r="C28" s="11" t="s">
        <v>1053</v>
      </c>
    </row>
    <row r="29" spans="1:3" ht="45" customHeight="1">
      <c r="A29" s="177" t="s">
        <v>1054</v>
      </c>
      <c r="B29" s="11" t="s">
        <v>1055</v>
      </c>
      <c r="C29" s="11" t="s">
        <v>1056</v>
      </c>
    </row>
    <row r="30" spans="1:3" ht="45" customHeight="1">
      <c r="A30" s="177" t="s">
        <v>1057</v>
      </c>
      <c r="B30" s="11" t="s">
        <v>1058</v>
      </c>
      <c r="C30" s="11" t="s">
        <v>1059</v>
      </c>
    </row>
    <row r="32" spans="1:3">
      <c r="A32" s="217" t="s">
        <v>1060</v>
      </c>
      <c r="B32" s="214"/>
      <c r="C32" s="214"/>
    </row>
    <row r="34" spans="1:3" ht="45" customHeight="1">
      <c r="A34" s="177" t="s">
        <v>1061</v>
      </c>
      <c r="B34" s="11" t="s">
        <v>1062</v>
      </c>
      <c r="C34" s="11" t="s">
        <v>1063</v>
      </c>
    </row>
    <row r="35" spans="1:3" ht="45" customHeight="1">
      <c r="A35" s="177" t="s">
        <v>1064</v>
      </c>
      <c r="B35" s="11" t="s">
        <v>1065</v>
      </c>
      <c r="C35" s="11" t="s">
        <v>1066</v>
      </c>
    </row>
    <row r="36" spans="1:3" ht="45" customHeight="1">
      <c r="A36" s="177" t="s">
        <v>1067</v>
      </c>
      <c r="B36" s="11" t="s">
        <v>1068</v>
      </c>
      <c r="C36" s="11" t="s">
        <v>1069</v>
      </c>
    </row>
    <row r="37" spans="1:3" ht="45" customHeight="1">
      <c r="A37" s="177" t="s">
        <v>1070</v>
      </c>
      <c r="B37" s="11" t="s">
        <v>1071</v>
      </c>
      <c r="C37" s="11" t="s">
        <v>1072</v>
      </c>
    </row>
    <row r="39" spans="1:3">
      <c r="A39" s="217" t="s">
        <v>1073</v>
      </c>
      <c r="B39" s="214"/>
      <c r="C39" s="214"/>
    </row>
    <row r="41" spans="1:3" ht="45" customHeight="1">
      <c r="A41" s="177" t="s">
        <v>1074</v>
      </c>
      <c r="B41" s="11" t="s">
        <v>1075</v>
      </c>
      <c r="C41" s="11" t="s">
        <v>1076</v>
      </c>
    </row>
    <row r="42" spans="1:3" ht="45" customHeight="1">
      <c r="A42" s="177" t="s">
        <v>1077</v>
      </c>
      <c r="B42" s="11" t="s">
        <v>1078</v>
      </c>
      <c r="C42" s="11" t="s">
        <v>1079</v>
      </c>
    </row>
    <row r="43" spans="1:3" ht="45" customHeight="1">
      <c r="A43" s="177" t="s">
        <v>1080</v>
      </c>
      <c r="B43" s="11" t="s">
        <v>1081</v>
      </c>
      <c r="C43" s="11" t="s">
        <v>1082</v>
      </c>
    </row>
    <row r="44" spans="1:3" ht="45" customHeight="1">
      <c r="A44" s="177" t="s">
        <v>1083</v>
      </c>
      <c r="B44" s="11" t="s">
        <v>1084</v>
      </c>
      <c r="C44" s="11" t="s">
        <v>1085</v>
      </c>
    </row>
    <row r="45" spans="1:3" ht="45" customHeight="1">
      <c r="A45" s="177" t="s">
        <v>1086</v>
      </c>
      <c r="B45" s="11" t="s">
        <v>1087</v>
      </c>
      <c r="C45" s="11" t="s">
        <v>1088</v>
      </c>
    </row>
    <row r="46" spans="1:3" ht="45" customHeight="1">
      <c r="A46" s="177" t="s">
        <v>1089</v>
      </c>
      <c r="B46" s="11" t="s">
        <v>1090</v>
      </c>
      <c r="C46" s="11" t="s">
        <v>1091</v>
      </c>
    </row>
    <row r="47" spans="1:3" ht="45" customHeight="1">
      <c r="A47" s="177" t="s">
        <v>1092</v>
      </c>
      <c r="B47" s="11" t="s">
        <v>1093</v>
      </c>
      <c r="C47" s="11" t="s">
        <v>1094</v>
      </c>
    </row>
    <row r="49" spans="1:3">
      <c r="A49" s="217" t="s">
        <v>1095</v>
      </c>
      <c r="B49" s="214"/>
      <c r="C49" s="214"/>
    </row>
    <row r="51" spans="1:3" ht="45" customHeight="1">
      <c r="A51" s="177" t="s">
        <v>1096</v>
      </c>
      <c r="B51" s="11" t="s">
        <v>1097</v>
      </c>
      <c r="C51" s="11" t="s">
        <v>1098</v>
      </c>
    </row>
    <row r="52" spans="1:3" ht="45" customHeight="1">
      <c r="A52" s="177" t="s">
        <v>1099</v>
      </c>
      <c r="B52" s="11" t="s">
        <v>1100</v>
      </c>
      <c r="C52" s="11" t="s">
        <v>1101</v>
      </c>
    </row>
    <row r="53" spans="1:3" ht="45" customHeight="1">
      <c r="A53" s="177" t="s">
        <v>1102</v>
      </c>
      <c r="B53" s="11" t="s">
        <v>1103</v>
      </c>
      <c r="C53" s="11" t="s">
        <v>1104</v>
      </c>
    </row>
    <row r="54" spans="1:3" ht="45" customHeight="1">
      <c r="A54" s="177" t="s">
        <v>1105</v>
      </c>
      <c r="B54" s="11" t="s">
        <v>1106</v>
      </c>
      <c r="C54" s="11" t="s">
        <v>1107</v>
      </c>
    </row>
    <row r="55" spans="1:3" ht="45" customHeight="1">
      <c r="A55" s="177" t="s">
        <v>1108</v>
      </c>
      <c r="B55" s="11" t="s">
        <v>1109</v>
      </c>
      <c r="C55" s="11" t="s">
        <v>1110</v>
      </c>
    </row>
    <row r="56" spans="1:3" ht="45" customHeight="1">
      <c r="A56" s="177" t="s">
        <v>1111</v>
      </c>
      <c r="B56" s="11" t="s">
        <v>1112</v>
      </c>
      <c r="C56" s="11" t="s">
        <v>1113</v>
      </c>
    </row>
    <row r="58" spans="1:3">
      <c r="A58" s="217" t="s">
        <v>1114</v>
      </c>
      <c r="B58" s="214"/>
      <c r="C58" s="214"/>
    </row>
    <row r="60" spans="1:3">
      <c r="A60" s="178" t="s">
        <v>1115</v>
      </c>
    </row>
    <row r="61" spans="1:3">
      <c r="A61" s="216" t="s">
        <v>1116</v>
      </c>
      <c r="B61" s="214"/>
      <c r="C61" s="214"/>
    </row>
    <row r="62" spans="1:3">
      <c r="A62" s="216" t="s">
        <v>1117</v>
      </c>
      <c r="B62" s="214"/>
      <c r="C62" s="214"/>
    </row>
    <row r="63" spans="1:3">
      <c r="A63" s="216" t="s">
        <v>1118</v>
      </c>
      <c r="B63" s="214"/>
      <c r="C63" s="214"/>
    </row>
    <row r="64" spans="1:3">
      <c r="A64" s="216" t="s">
        <v>1119</v>
      </c>
      <c r="B64" s="214"/>
      <c r="C64" s="214"/>
    </row>
    <row r="65" spans="1:3">
      <c r="A65" s="216" t="s">
        <v>1120</v>
      </c>
      <c r="B65" s="214"/>
      <c r="C65" s="214"/>
    </row>
    <row r="67" spans="1:3">
      <c r="A67" s="229" t="s">
        <v>1121</v>
      </c>
      <c r="B67" s="214"/>
      <c r="C67" s="214"/>
    </row>
  </sheetData>
  <mergeCells count="13">
    <mergeCell ref="A5:C5"/>
    <mergeCell ref="A23:C23"/>
    <mergeCell ref="A32:C32"/>
    <mergeCell ref="A61:C61"/>
    <mergeCell ref="A58:C58"/>
    <mergeCell ref="A67:C67"/>
    <mergeCell ref="A62:C62"/>
    <mergeCell ref="A39:C39"/>
    <mergeCell ref="A15:C15"/>
    <mergeCell ref="A65:C65"/>
    <mergeCell ref="A64:C64"/>
    <mergeCell ref="A49:C49"/>
    <mergeCell ref="A63:C6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2"/>
  <sheetViews>
    <sheetView zoomScale="120" workbookViewId="0"/>
  </sheetViews>
  <sheetFormatPr baseColWidth="10" defaultColWidth="8.83203125" defaultRowHeight="15"/>
  <cols>
    <col min="1" max="1" width="32" customWidth="1"/>
    <col min="2" max="2" width="14" customWidth="1"/>
  </cols>
  <sheetData>
    <row r="1" spans="1:4" ht="18" customHeight="1">
      <c r="A1" s="13" t="s">
        <v>1122</v>
      </c>
      <c r="B1" s="32"/>
      <c r="C1" s="32"/>
      <c r="D1" s="32"/>
    </row>
    <row r="2" spans="1:4" ht="18" customHeight="1">
      <c r="A2" s="16" t="s">
        <v>1123</v>
      </c>
      <c r="B2" s="179">
        <f>IF(OR(_Inputs!B4="",_Inputs!B4=0),"",_Inputs!B4)</f>
        <v>99</v>
      </c>
      <c r="C2" s="180"/>
      <c r="D2" s="180"/>
    </row>
    <row r="3" spans="1:4" ht="18" customHeight="1">
      <c r="A3" s="16" t="s">
        <v>1124</v>
      </c>
      <c r="B3" s="179">
        <f>IF(OR(B2="",B2=0,_Inputs!B5=""),"",B2*_Inputs!B5)</f>
        <v>21.78</v>
      </c>
      <c r="C3" s="180"/>
      <c r="D3" s="180"/>
    </row>
    <row r="4" spans="1:4" ht="18" customHeight="1">
      <c r="A4" s="16" t="s">
        <v>1125</v>
      </c>
      <c r="B4" s="179">
        <f>IF(OR(B2="",B2=0),"",B2*IFERROR(VLOOKUP(_Inputs!B1,_Presets!$A$2:$C$100,3,FALSE()),1.3))</f>
        <v>128.70000000000002</v>
      </c>
      <c r="C4" s="180"/>
      <c r="D4" s="180"/>
    </row>
    <row r="5" spans="1:4" ht="18" customHeight="1">
      <c r="A5" s="16" t="s">
        <v>1126</v>
      </c>
      <c r="B5" s="179">
        <f>IF(OR(B2="",B2=0),"",(B2-B3)*1.3 + B3*(1+_Constants!B16) + B4)</f>
        <v>254.35080000000002</v>
      </c>
      <c r="C5" s="180"/>
      <c r="D5" s="180"/>
    </row>
    <row r="6" spans="1:4" ht="18" customHeight="1">
      <c r="A6" s="16" t="s">
        <v>1127</v>
      </c>
      <c r="B6" s="179">
        <f>IF(OR(B5="",B5=0),"",B5/_Constants!B2)</f>
        <v>267.73768421052637</v>
      </c>
      <c r="C6" s="180"/>
      <c r="D6" s="180"/>
    </row>
    <row r="7" spans="1:4" ht="18" customHeight="1">
      <c r="A7" s="16" t="s">
        <v>132</v>
      </c>
      <c r="B7" s="179">
        <f>IF(OR(_Allocations!B2="",B2=0),"",_Allocations!B2*_Constants!B17*IF(OR(_Inputs!B33="",_Inputs!B33=0),0.68,_Inputs!B33))</f>
        <v>121.17600000000002</v>
      </c>
      <c r="C7" s="180"/>
      <c r="D7" s="180"/>
    </row>
    <row r="8" spans="1:4" ht="18" customHeight="1">
      <c r="A8" s="16" t="s">
        <v>1128</v>
      </c>
      <c r="B8" s="179">
        <f>IF(OR(_Allocations!B7="",_Allocations!B7=0),"",_Allocations!B7*(_Constants!B18/15))</f>
        <v>147.02688000000003</v>
      </c>
      <c r="C8" s="180"/>
      <c r="D8" s="180"/>
    </row>
    <row r="9" spans="1:4" ht="18" customHeight="1">
      <c r="A9" s="16" t="s">
        <v>1129</v>
      </c>
      <c r="B9" s="179">
        <f>IF(OR($B$2="",B2=0,_Inputs!$B$7=""),"",$B$2*(1-_Inputs!$B$7))</f>
        <v>92.07</v>
      </c>
      <c r="C9" s="181">
        <f>IF(OR(_Allocations!$B$3="",_Allocations!$B$3=0),"",_Allocations!$B$3-_Allocations!C11)</f>
        <v>19.493100000000002</v>
      </c>
      <c r="D9" s="181">
        <f>IF(OR($B$4="",$B$4=0),"",_Allocations!$B$4-_Allocations!D11)</f>
        <v>121.07700000000001</v>
      </c>
    </row>
    <row r="10" spans="1:4" ht="18" customHeight="1">
      <c r="A10" s="182" t="s">
        <v>275</v>
      </c>
      <c r="B10" s="183" t="s">
        <v>1123</v>
      </c>
      <c r="C10" s="184" t="s">
        <v>1124</v>
      </c>
      <c r="D10" s="184" t="s">
        <v>1125</v>
      </c>
    </row>
    <row r="11" spans="1:4" ht="18" customHeight="1">
      <c r="A11" s="16" t="s">
        <v>142</v>
      </c>
      <c r="B11" s="179">
        <f>IF(OR($B$2="",B2=0,_Inputs!$B$7=""),"",$B$2*_Inputs!$B$7)</f>
        <v>6.9300000000000006</v>
      </c>
      <c r="C11" s="181">
        <f>IF(OR(_Allocations!B11="",_Allocations!B11=0),"",_Allocations!B11*_Inputs!$B$17)</f>
        <v>2.2869000000000002</v>
      </c>
      <c r="D11" s="181">
        <f>IF(OR($B$2="",B2=0),"",$B$2*_Inputs!$B$7*_Inputs!$B$18)</f>
        <v>7.6230000000000011</v>
      </c>
    </row>
    <row r="12" spans="1:4" ht="18" customHeight="1">
      <c r="A12" s="16" t="s">
        <v>119</v>
      </c>
      <c r="B12" s="179">
        <f>IF(OR($B$9="",B9=0,_Inputs!B8=""),"",$B$9*_Inputs!B8)</f>
        <v>13.810499999999999</v>
      </c>
      <c r="C12" s="181">
        <f>IF(OR(_Allocations!$C$9="",_Allocations!C9=0),"",_Allocations!$C$9*_Inputs!$B$12)</f>
        <v>5.4580680000000008</v>
      </c>
      <c r="D12" s="181">
        <f>IF(OR($B$9="",B9=0),"",$B$9*_Inputs!$B$8*_Inputs!$B$20)</f>
        <v>13.119974999999998</v>
      </c>
    </row>
    <row r="13" spans="1:4" ht="18" customHeight="1">
      <c r="A13" s="16" t="s">
        <v>120</v>
      </c>
      <c r="B13" s="179">
        <f>IF(OR($B$9="",B9=0,_Inputs!B9=""),"",$B$9*_Inputs!B9)</f>
        <v>32.224499999999999</v>
      </c>
      <c r="C13" s="181">
        <f>IF(OR(_Allocations!$C$9="",_Allocations!C9=0),"",_Allocations!$C$9*_Inputs!$B$13)</f>
        <v>4.2884820000000001</v>
      </c>
      <c r="D13" s="181">
        <f>IF(OR($B$9="",B9=0),"",$B$9*_Inputs!$B$9*_Inputs!$B$21)</f>
        <v>40.280625000000001</v>
      </c>
    </row>
    <row r="14" spans="1:4" ht="18" customHeight="1">
      <c r="A14" s="16" t="s">
        <v>121</v>
      </c>
      <c r="B14" s="179">
        <f>IF(OR($B$9="",B9=0,_Inputs!B10=""),"",$B$9*_Inputs!B10)</f>
        <v>46.034999999999997</v>
      </c>
      <c r="C14" s="181">
        <f>IF(OR(_Allocations!$C$9="",_Allocations!C9=0),"",_Allocations!$C$9*_Inputs!$B$14)</f>
        <v>3.5087580000000003</v>
      </c>
      <c r="D14" s="181">
        <f>IF(OR($B$9="",B9=0),"",$B$9*_Inputs!$B$10*_Inputs!$B$16)</f>
        <v>66.750749999999996</v>
      </c>
    </row>
    <row r="15" spans="1:4" ht="18" customHeight="1">
      <c r="A15" s="16" t="s">
        <v>1130</v>
      </c>
      <c r="B15" s="179">
        <f>IF(OR($B$9="",B9=0,_Inputs!B11=""),"",$B$9*_Inputs!B11)</f>
        <v>0</v>
      </c>
      <c r="C15" s="181">
        <f>IF(OR(_Allocations!$C$9="",_Allocations!C9=0),"",_Allocations!$C$9*_Inputs!$B$15)</f>
        <v>0</v>
      </c>
      <c r="D15" s="181">
        <f>IF(OR($B$9="",B9=0),"",$B$9*_Inputs!$B$11*_Inputs!$B$22)</f>
        <v>0</v>
      </c>
    </row>
    <row r="16" spans="1:4" ht="18" customHeight="1">
      <c r="A16" s="32"/>
      <c r="B16" s="180"/>
      <c r="C16" s="180"/>
      <c r="D16" s="180"/>
    </row>
    <row r="17" spans="1:4" ht="18" customHeight="1">
      <c r="A17" s="16" t="s">
        <v>1131</v>
      </c>
      <c r="B17" s="180"/>
      <c r="C17" s="180"/>
      <c r="D17" s="180"/>
    </row>
    <row r="18" spans="1:4" ht="18" customHeight="1">
      <c r="A18" s="16" t="s">
        <v>1132</v>
      </c>
      <c r="B18" s="179">
        <f>IF(OR(B3="",B3=0),"",B3)</f>
        <v>21.78</v>
      </c>
      <c r="C18" s="180"/>
      <c r="D18" s="180"/>
    </row>
    <row r="19" spans="1:4" ht="18" customHeight="1">
      <c r="A19" s="16" t="s">
        <v>1133</v>
      </c>
      <c r="B19" s="179">
        <f>IF(OR(B3="",B3=0),"",B3/(1-_Constants!B6))</f>
        <v>37.551724137931032</v>
      </c>
      <c r="C19" s="180"/>
      <c r="D19" s="180"/>
    </row>
    <row r="20" spans="1:4" ht="18" customHeight="1">
      <c r="A20" s="16" t="s">
        <v>1134</v>
      </c>
      <c r="B20" s="179">
        <f>IF(OR(B3="",B3=0),"",B3/(1-_Constants!B7))</f>
        <v>31.114285714285717</v>
      </c>
      <c r="C20" s="180"/>
      <c r="D20" s="180"/>
    </row>
    <row r="21" spans="1:4" ht="18" customHeight="1">
      <c r="A21" s="16" t="s">
        <v>148</v>
      </c>
      <c r="B21" s="179">
        <f>IF(OR(B19="",B19=0),"",CEILING(B19/_Constants!B8,1))</f>
        <v>26</v>
      </c>
      <c r="C21" s="180"/>
      <c r="D21" s="180"/>
    </row>
    <row r="22" spans="1:4" ht="18" customHeight="1">
      <c r="A22" s="16" t="s">
        <v>1135</v>
      </c>
      <c r="B22" s="180"/>
      <c r="C22" s="180"/>
      <c r="D22" s="180"/>
    </row>
    <row r="23" spans="1:4" ht="18" customHeight="1">
      <c r="A23" s="16" t="s">
        <v>125</v>
      </c>
      <c r="B23" s="179">
        <f>IF(OR(B11="",B11=0,_Inputs!B19=""),"",B11*_Inputs!B19)</f>
        <v>0</v>
      </c>
      <c r="C23" s="180"/>
      <c r="D23" s="180"/>
    </row>
    <row r="24" spans="1:4" ht="18" customHeight="1">
      <c r="A24" s="16" t="s">
        <v>1136</v>
      </c>
      <c r="B24" s="179">
        <f>IF(OR(_Allocations!B11="",_Allocations!B11=0),"",(B11-IFERROR(B23,0)-IFERROR(_Allocations!C11,0)))</f>
        <v>4.6431000000000004</v>
      </c>
      <c r="C24" s="180"/>
      <c r="D24" s="180"/>
    </row>
    <row r="26" spans="1:4" ht="15" customHeight="1">
      <c r="A26" s="24" t="s">
        <v>1137</v>
      </c>
    </row>
    <row r="27" spans="1:4" ht="15" customHeight="1">
      <c r="A27" t="s">
        <v>1138</v>
      </c>
      <c r="B27" t="str">
        <f>_Inputs!B26</f>
        <v/>
      </c>
    </row>
    <row r="28" spans="1:4" ht="15" customHeight="1">
      <c r="A28" t="s">
        <v>1139</v>
      </c>
      <c r="B28">
        <f>_Inputs!B27</f>
        <v>0.41</v>
      </c>
    </row>
    <row r="29" spans="1:4" ht="15" customHeight="1">
      <c r="A29" t="s">
        <v>1140</v>
      </c>
      <c r="B29" s="185">
        <f>_Inputs!B28</f>
        <v>0.21</v>
      </c>
    </row>
    <row r="30" spans="1:4" ht="15" customHeight="1">
      <c r="A30" t="s">
        <v>1141</v>
      </c>
      <c r="B30" s="185">
        <f>_Inputs!B29</f>
        <v>1.97</v>
      </c>
    </row>
    <row r="31" spans="1:4" ht="15" customHeight="1"/>
    <row r="32" spans="1:4" ht="15" customHeight="1">
      <c r="A32" s="24" t="s">
        <v>1142</v>
      </c>
    </row>
    <row r="33" spans="1:5" ht="15" customHeight="1">
      <c r="A33" t="s">
        <v>1143</v>
      </c>
      <c r="B33" t="str">
        <f>IF(OR(_Inputs!B24="",_Inputs!B24=0),"",IF(_Inputs!B24&gt;=90,0.6,IF(_Inputs!B24&gt;=80,0.8,IF(_Inputs!B24&gt;=70,1,IF(_Inputs!B24&gt;=60,0.9,IF(_Inputs!B24&gt;=50,0.75,0.6))))))</f>
        <v/>
      </c>
    </row>
    <row r="34" spans="1:5" ht="15" customHeight="1">
      <c r="A34" t="s">
        <v>1144</v>
      </c>
      <c r="B34" t="str">
        <f>IF(OR(B27="",B28="",B33=""),"",ROUND(B27*B28*B33,1))</f>
        <v/>
      </c>
    </row>
    <row r="35" spans="1:5" ht="15" customHeight="1">
      <c r="A35" t="s">
        <v>912</v>
      </c>
      <c r="B35" t="str">
        <f>IF(B34="","",IF(B34&lt;1.5,"Very Low",IF(B34&lt;2,"Low",IF(B34&lt;2.5,"Medium",IF(B34&lt;3,"High","Very High")))))</f>
        <v/>
      </c>
    </row>
    <row r="36" spans="1:5" ht="15" customHeight="1"/>
    <row r="37" spans="1:5" ht="15" customHeight="1">
      <c r="A37" s="24" t="s">
        <v>1145</v>
      </c>
    </row>
    <row r="38" spans="1:5" ht="15" customHeight="1">
      <c r="A38" t="s">
        <v>905</v>
      </c>
      <c r="B38" t="str">
        <f>IF(OR(_Inputs!B24="",_Inputs!B24=0),"",IF(_Inputs!B24&gt;=90,1.5,IF(_Inputs!B24&gt;=80,1.25,IF(_Inputs!B24&gt;=70,1,IF(_Inputs!B24&gt;=60,0.85,0.7)))))</f>
        <v/>
      </c>
    </row>
    <row r="39" spans="1:5" ht="15" customHeight="1">
      <c r="A39" t="s">
        <v>1146</v>
      </c>
      <c r="B39" t="str">
        <f>IF(B38="","",IF(B38&gt;=1.4,"Very Fast",IF(B38&gt;=1.15,"Fast",IF(B38&gt;=0.9,"Standard",IF(B38&gt;=0.75,"Slow","Very Slow")))))</f>
        <v/>
      </c>
    </row>
    <row r="40" spans="1:5" ht="15" customHeight="1">
      <c r="A40" t="s">
        <v>1147</v>
      </c>
      <c r="B40" t="str">
        <f>IF(B38="","",IF(B38&gt;=1.4,"⚠ Monitor closely - expect rapid ferment",IF(B38&lt;=0.75,"⚠ Extended timeline - watch for stuck ferment","")))</f>
        <v/>
      </c>
    </row>
    <row r="43" spans="1:5" ht="15" customHeight="1">
      <c r="A43" t="s">
        <v>1148</v>
      </c>
    </row>
    <row r="44" spans="1:5" ht="15" customHeight="1">
      <c r="A44" t="s">
        <v>275</v>
      </c>
      <c r="B44" t="s">
        <v>1149</v>
      </c>
      <c r="C44" t="s">
        <v>277</v>
      </c>
      <c r="D44" t="s">
        <v>278</v>
      </c>
      <c r="E44" t="s">
        <v>279</v>
      </c>
    </row>
    <row r="45" spans="1:5" ht="15" customHeight="1">
      <c r="A45" t="s">
        <v>142</v>
      </c>
      <c r="B45">
        <f>IFERROR(_Allocations!B23,0)</f>
        <v>0</v>
      </c>
      <c r="C45">
        <f>IFERROR(_Allocations!B24,0)</f>
        <v>4.6431000000000004</v>
      </c>
      <c r="D45">
        <f>IFERROR(_Allocations!C11,0)</f>
        <v>2.2869000000000002</v>
      </c>
      <c r="E45">
        <f>IFERROR(_Allocations!D11,0)</f>
        <v>7.6230000000000011</v>
      </c>
    </row>
    <row r="46" spans="1:5" ht="15" customHeight="1">
      <c r="A46" t="s">
        <v>119</v>
      </c>
      <c r="B46">
        <f>0</f>
        <v>0</v>
      </c>
      <c r="C46">
        <f>IFERROR(_Allocations!B12,0)</f>
        <v>13.810499999999999</v>
      </c>
      <c r="D46">
        <f>IFERROR(_Allocations!C12,0)</f>
        <v>5.4580680000000008</v>
      </c>
      <c r="E46">
        <f>IFERROR(_Allocations!D12,0)</f>
        <v>13.119974999999998</v>
      </c>
    </row>
    <row r="47" spans="1:5" ht="15" customHeight="1">
      <c r="A47" t="s">
        <v>120</v>
      </c>
      <c r="B47">
        <f>0</f>
        <v>0</v>
      </c>
      <c r="C47">
        <f>IFERROR(_Allocations!B13,0)</f>
        <v>32.224499999999999</v>
      </c>
      <c r="D47">
        <f>IFERROR(_Allocations!C13,0)</f>
        <v>4.2884820000000001</v>
      </c>
      <c r="E47">
        <f>IFERROR(_Allocations!D13,0)</f>
        <v>40.280625000000001</v>
      </c>
    </row>
    <row r="48" spans="1:5" ht="15" customHeight="1">
      <c r="A48" t="s">
        <v>121</v>
      </c>
      <c r="B48">
        <f>0</f>
        <v>0</v>
      </c>
      <c r="C48">
        <f>IFERROR(_Allocations!B14,0)</f>
        <v>46.034999999999997</v>
      </c>
      <c r="D48">
        <f>IFERROR(_Allocations!C14,0)</f>
        <v>3.5087580000000003</v>
      </c>
      <c r="E48">
        <f>IFERROR(_Allocations!D14,0)</f>
        <v>66.750749999999996</v>
      </c>
    </row>
    <row r="49" spans="1:9" ht="15" customHeight="1">
      <c r="A49" t="s">
        <v>122</v>
      </c>
      <c r="B49">
        <f>0</f>
        <v>0</v>
      </c>
      <c r="C49">
        <f>IFERROR(_Allocations!B15,0)</f>
        <v>0</v>
      </c>
      <c r="D49">
        <f>IFERROR(_Allocations!C15,0)</f>
        <v>0</v>
      </c>
      <c r="E49">
        <f>IFERROR(_Allocations!D15,0)</f>
        <v>0</v>
      </c>
    </row>
    <row r="52" spans="1:9" ht="15" customHeight="1">
      <c r="A52" s="24" t="s">
        <v>1150</v>
      </c>
    </row>
    <row r="53" spans="1:9" ht="15" customHeight="1">
      <c r="A53" t="s">
        <v>275</v>
      </c>
      <c r="B53" t="s">
        <v>103</v>
      </c>
      <c r="C53" t="s">
        <v>104</v>
      </c>
      <c r="D53" t="s">
        <v>829</v>
      </c>
      <c r="E53" t="s">
        <v>1151</v>
      </c>
      <c r="F53" t="s">
        <v>1123</v>
      </c>
      <c r="G53" t="s">
        <v>1152</v>
      </c>
      <c r="H53" t="s">
        <v>1153</v>
      </c>
      <c r="I53" t="s">
        <v>1154</v>
      </c>
    </row>
    <row r="54" spans="1:9" ht="15" customHeight="1">
      <c r="A54" t="s">
        <v>116</v>
      </c>
      <c r="B54" t="str">
        <f>Recipe!B18</f>
        <v>Lot A</v>
      </c>
      <c r="C54" t="str">
        <f>IFERROR(VLOOKUP(B54,Recipe!$A$11:$D$14,2,FALSE()),"")</f>
        <v>Select ▽</v>
      </c>
      <c r="D54">
        <f>IFERROR(IF(VLOOKUP(B54,Recipe!$A$11:$D$14,3,FALSE())="",IF(_Inputs!$B$2&lt;&gt;"",INDEX(_Presets!$U$2:$U$100,_Inputs!$B$2),70),VLOOKUP(B54,Recipe!$A$11:$D$14,3,FALSE())),"")</f>
        <v>0</v>
      </c>
      <c r="E54">
        <f>IFERROR(IF(OR(C54="",C54="Select ▽",C54="Select"),IF(D54&gt;=90,7,IF(D54&gt;=80,5.95,IF(D54&gt;=70,4.9,IF(D54&gt;=60,3.85,IF(D54&gt;=50,2.8,IF(D54&gt;=40,2.1,1.75)))))),IF(D54&gt;=90,VLOOKUP(C54,_Lookups!$P$2:$T$50,5,FALSE()),IF(D54&gt;=80,VLOOKUP(C54,_Lookups!$P$2:$T$50,5,FALSE())*0.85,IF(D54&gt;=70,VLOOKUP(C54,_Lookups!$P$2:$T$50,5,FALSE())*0.7,IF(D54&gt;=60,VLOOKUP(C54,_Lookups!$P$2:$T$50,5,FALSE())*0.55,IF(D54&gt;=50,VLOOKUP(C54,_Lookups!$P$2:$T$50,5,FALSE())*0.4,IF(D54&gt;=40,VLOOKUP(C54,_Lookups!$P$2:$T$50,5,FALSE())*0.3,VLOOKUP(C54,_Lookups!$P$2:$T$50,5,FALSE())*0.25))))))),IF(D54&gt;=90,7,IF(D54&gt;=80,5.95,IF(D54&gt;=70,4.9,IF(D54&gt;=60,3.85,IF(D54&gt;=50,2.8,IF(D54&gt;=40,2.1,1.75)))))))</f>
        <v>1.75</v>
      </c>
      <c r="F54">
        <f>IFERROR(B3,"")</f>
        <v>21.78</v>
      </c>
      <c r="G54">
        <f t="shared" ref="G54:G59" si="0">IFERROR(IF(OR(E54="",F54=""),"",E54/100*F54*1000),"")</f>
        <v>381.15000000000003</v>
      </c>
      <c r="H54">
        <f>0.3</f>
        <v>0.3</v>
      </c>
      <c r="I54">
        <f t="shared" ref="I54:I59" si="1">IFERROR(IF(OR(G54="",H54=""),"",G54*(1-H54)),"")</f>
        <v>266.80500000000001</v>
      </c>
    </row>
    <row r="55" spans="1:9" ht="15" customHeight="1">
      <c r="A55" t="s">
        <v>142</v>
      </c>
      <c r="B55" t="str">
        <f>Recipe!B19</f>
        <v>Lot A</v>
      </c>
      <c r="C55" t="str">
        <f>IFERROR(VLOOKUP(B55,Recipe!$A$11:$D$14,2,FALSE()),"")</f>
        <v>Select ▽</v>
      </c>
      <c r="D55">
        <f>IFERROR(IF(VLOOKUP(B55,Recipe!$A$11:$D$14,3,FALSE())="",IF(_Inputs!$B$2&lt;&gt;"",INDEX(_Presets!$U$2:$U$100,_Inputs!$B$2),70),VLOOKUP(B55,Recipe!$A$11:$D$14,3,FALSE())),"")</f>
        <v>0</v>
      </c>
      <c r="E55">
        <f>IFERROR(IF(OR(C55="",C55="Select ▽",C55="Select"),IF(D55&gt;=90,7,IF(D55&gt;=80,5.95,IF(D55&gt;=70,4.9,IF(D55&gt;=60,3.85,IF(D55&gt;=50,2.8,IF(D55&gt;=40,2.1,1.75)))))),IF(D55&gt;=90,VLOOKUP(C55,_Lookups!$P$2:$T$50,5,FALSE()),IF(D55&gt;=80,VLOOKUP(C55,_Lookups!$P$2:$T$50,5,FALSE())*0.85,IF(D55&gt;=70,VLOOKUP(C55,_Lookups!$P$2:$T$50,5,FALSE())*0.7,IF(D55&gt;=60,VLOOKUP(C55,_Lookups!$P$2:$T$50,5,FALSE())*0.55,IF(D55&gt;=50,VLOOKUP(C55,_Lookups!$P$2:$T$50,5,FALSE())*0.4,IF(D55&gt;=40,VLOOKUP(C55,_Lookups!$P$2:$T$50,5,FALSE())*0.3,VLOOKUP(C55,_Lookups!$P$2:$T$50,5,FALSE())*0.25))))))),IF(D55&gt;=90,7,IF(D55&gt;=80,5.95,IF(D55&gt;=70,4.9,IF(D55&gt;=60,3.85,IF(D55&gt;=50,2.8,IF(D55&gt;=40,2.1,1.75)))))))</f>
        <v>1.75</v>
      </c>
      <c r="F55">
        <f>IFERROR(B24,"")</f>
        <v>4.6431000000000004</v>
      </c>
      <c r="G55">
        <f t="shared" si="0"/>
        <v>81.254250000000013</v>
      </c>
      <c r="H55">
        <f>IFERROR(IF(D55&gt;=90,0.67,IF(D55&gt;=80,0.55,IF(D55&gt;=70,0.45,0.35))),0.5)</f>
        <v>0.35</v>
      </c>
      <c r="I55">
        <f t="shared" si="1"/>
        <v>52.81526250000001</v>
      </c>
    </row>
    <row r="56" spans="1:9" ht="15" customHeight="1">
      <c r="A56" t="s">
        <v>119</v>
      </c>
      <c r="B56" t="str">
        <f>Recipe!B21</f>
        <v>Lot A</v>
      </c>
      <c r="C56" t="str">
        <f>IFERROR(VLOOKUP(B56,Recipe!$A$11:$D$14,2,FALSE()),"")</f>
        <v>Select ▽</v>
      </c>
      <c r="D56">
        <f>IFERROR(IF(VLOOKUP(B56,Recipe!$A$11:$D$14,3,FALSE())="",IF(_Inputs!$B$2&lt;&gt;"",INDEX(_Presets!$U$2:$U$100,_Inputs!$B$2),70),VLOOKUP(B56,Recipe!$A$11:$D$14,3,FALSE())),"")</f>
        <v>0</v>
      </c>
      <c r="E56">
        <f>IFERROR(IF(OR(C56="",C56="Select ▽",C56="Select"),IF(D56&gt;=90,7,IF(D56&gt;=80,5.95,IF(D56&gt;=70,4.9,IF(D56&gt;=60,3.85,IF(D56&gt;=50,2.8,IF(D56&gt;=40,2.1,1.75)))))),IF(D56&gt;=90,VLOOKUP(C56,_Lookups!$P$2:$T$50,5,FALSE()),IF(D56&gt;=80,VLOOKUP(C56,_Lookups!$P$2:$T$50,5,FALSE())*0.85,IF(D56&gt;=70,VLOOKUP(C56,_Lookups!$P$2:$T$50,5,FALSE())*0.7,IF(D56&gt;=60,VLOOKUP(C56,_Lookups!$P$2:$T$50,5,FALSE())*0.55,IF(D56&gt;=50,VLOOKUP(C56,_Lookups!$P$2:$T$50,5,FALSE())*0.4,IF(D56&gt;=40,VLOOKUP(C56,_Lookups!$P$2:$T$50,5,FALSE())*0.3,VLOOKUP(C56,_Lookups!$P$2:$T$50,5,FALSE())*0.25))))))),IF(D56&gt;=90,7,IF(D56&gt;=80,5.95,IF(D56&gt;=70,4.9,IF(D56&gt;=60,3.85,IF(D56&gt;=50,2.8,IF(D56&gt;=40,2.1,1.75)))))))</f>
        <v>1.75</v>
      </c>
      <c r="F56">
        <f>IFERROR(B12,"")</f>
        <v>13.810499999999999</v>
      </c>
      <c r="G56">
        <f t="shared" si="0"/>
        <v>241.68375</v>
      </c>
      <c r="H56">
        <f>IFERROR(IF(D56&gt;=90,0.67,IF(D56&gt;=80,0.55,IF(D56&gt;=70,0.45,0.35))),0.5)</f>
        <v>0.35</v>
      </c>
      <c r="I56">
        <f t="shared" si="1"/>
        <v>157.0944375</v>
      </c>
    </row>
    <row r="57" spans="1:9" ht="15" customHeight="1">
      <c r="A57" t="s">
        <v>120</v>
      </c>
      <c r="B57" t="str">
        <f>Recipe!B22</f>
        <v>Lot A</v>
      </c>
      <c r="C57" t="str">
        <f>IFERROR(VLOOKUP(B57,Recipe!$A$11:$D$14,2,FALSE()),"")</f>
        <v>Select ▽</v>
      </c>
      <c r="D57">
        <f>IFERROR(IF(VLOOKUP(B57,Recipe!$A$11:$D$14,3,FALSE())="",IF(_Inputs!$B$2&lt;&gt;"",INDEX(_Presets!$U$2:$U$100,_Inputs!$B$2),70),VLOOKUP(B57,Recipe!$A$11:$D$14,3,FALSE())),"")</f>
        <v>0</v>
      </c>
      <c r="E57">
        <f>IFERROR(IF(OR(C57="",C57="Select ▽",C57="Select"),IF(D57&gt;=90,7,IF(D57&gt;=80,5.95,IF(D57&gt;=70,4.9,IF(D57&gt;=60,3.85,IF(D57&gt;=50,2.8,IF(D57&gt;=40,2.1,1.75)))))),IF(D57&gt;=90,VLOOKUP(C57,_Lookups!$P$2:$T$50,5,FALSE()),IF(D57&gt;=80,VLOOKUP(C57,_Lookups!$P$2:$T$50,5,FALSE())*0.85,IF(D57&gt;=70,VLOOKUP(C57,_Lookups!$P$2:$T$50,5,FALSE())*0.7,IF(D57&gt;=60,VLOOKUP(C57,_Lookups!$P$2:$T$50,5,FALSE())*0.55,IF(D57&gt;=50,VLOOKUP(C57,_Lookups!$P$2:$T$50,5,FALSE())*0.4,IF(D57&gt;=40,VLOOKUP(C57,_Lookups!$P$2:$T$50,5,FALSE())*0.3,VLOOKUP(C57,_Lookups!$P$2:$T$50,5,FALSE())*0.25))))))),IF(D57&gt;=90,7,IF(D57&gt;=80,5.95,IF(D57&gt;=70,4.9,IF(D57&gt;=60,3.85,IF(D57&gt;=50,2.8,IF(D57&gt;=40,2.1,1.75)))))))</f>
        <v>1.75</v>
      </c>
      <c r="F57">
        <f>IFERROR(B13,"")</f>
        <v>32.224499999999999</v>
      </c>
      <c r="G57">
        <f t="shared" si="0"/>
        <v>563.92875000000004</v>
      </c>
      <c r="H57">
        <f>IFERROR(IF(D57&gt;=90,0.67,IF(D57&gt;=80,0.55,IF(D57&gt;=70,0.45,0.35))),0.5)</f>
        <v>0.35</v>
      </c>
      <c r="I57">
        <f t="shared" si="1"/>
        <v>366.55368750000002</v>
      </c>
    </row>
    <row r="58" spans="1:9" ht="15" customHeight="1">
      <c r="A58" t="s">
        <v>121</v>
      </c>
      <c r="B58" t="str">
        <f>Recipe!B23</f>
        <v>Lot A</v>
      </c>
      <c r="C58" t="str">
        <f>IFERROR(VLOOKUP(B58,Recipe!$A$11:$D$14,2,FALSE()),"")</f>
        <v>Select ▽</v>
      </c>
      <c r="D58">
        <f>IFERROR(IF(VLOOKUP(B58,Recipe!$A$11:$D$14,3,FALSE())="",IF(_Inputs!$B$2&lt;&gt;"",INDEX(_Presets!$U$2:$U$100,_Inputs!$B$2),70),VLOOKUP(B58,Recipe!$A$11:$D$14,3,FALSE())),"")</f>
        <v>0</v>
      </c>
      <c r="E58">
        <f>IFERROR(IF(OR(C58="",C58="Select ▽",C58="Select"),IF(D58&gt;=90,7,IF(D58&gt;=80,5.95,IF(D58&gt;=70,4.9,IF(D58&gt;=60,3.85,IF(D58&gt;=50,2.8,IF(D58&gt;=40,2.1,1.75)))))),IF(D58&gt;=90,VLOOKUP(C58,_Lookups!$P$2:$T$50,5,FALSE()),IF(D58&gt;=80,VLOOKUP(C58,_Lookups!$P$2:$T$50,5,FALSE())*0.85,IF(D58&gt;=70,VLOOKUP(C58,_Lookups!$P$2:$T$50,5,FALSE())*0.7,IF(D58&gt;=60,VLOOKUP(C58,_Lookups!$P$2:$T$50,5,FALSE())*0.55,IF(D58&gt;=50,VLOOKUP(C58,_Lookups!$P$2:$T$50,5,FALSE())*0.4,IF(D58&gt;=40,VLOOKUP(C58,_Lookups!$P$2:$T$50,5,FALSE())*0.3,VLOOKUP(C58,_Lookups!$P$2:$T$50,5,FALSE())*0.25))))))),IF(D58&gt;=90,7,IF(D58&gt;=80,5.95,IF(D58&gt;=70,4.9,IF(D58&gt;=60,3.85,IF(D58&gt;=50,2.8,IF(D58&gt;=40,2.1,1.75)))))))</f>
        <v>1.75</v>
      </c>
      <c r="F58">
        <f>IFERROR(B14,"")</f>
        <v>46.034999999999997</v>
      </c>
      <c r="G58">
        <f t="shared" si="0"/>
        <v>805.61250000000007</v>
      </c>
      <c r="H58">
        <f>IFERROR(IF(D58&gt;=90,0.67,IF(D58&gt;=80,0.55,IF(D58&gt;=70,0.45,0.35))),0.5)</f>
        <v>0.35</v>
      </c>
      <c r="I58">
        <f t="shared" si="1"/>
        <v>523.64812500000005</v>
      </c>
    </row>
    <row r="59" spans="1:9" ht="15" customHeight="1">
      <c r="A59" t="s">
        <v>122</v>
      </c>
      <c r="B59" t="str">
        <f>Recipe!B24</f>
        <v>Lot A</v>
      </c>
      <c r="C59" t="str">
        <f>IFERROR(VLOOKUP(B59,Recipe!$A$11:$D$14,2,FALSE()),"")</f>
        <v>Select ▽</v>
      </c>
      <c r="D59">
        <f>IFERROR(IF(VLOOKUP(B59,Recipe!$A$11:$D$14,3,FALSE())="",IF(_Inputs!$B$2&lt;&gt;"",INDEX(_Presets!$U$2:$U$100,_Inputs!$B$2),70),VLOOKUP(B59,Recipe!$A$11:$D$14,3,FALSE())),"")</f>
        <v>0</v>
      </c>
      <c r="E59">
        <f>IFERROR(IF(OR(C59="",C59="Select ▽",C59="Select"),IF(D59&gt;=90,7,IF(D59&gt;=80,5.95,IF(D59&gt;=70,4.9,IF(D59&gt;=60,3.85,IF(D59&gt;=50,2.8,IF(D59&gt;=40,2.1,1.75)))))),IF(D59&gt;=90,VLOOKUP(C59,_Lookups!$P$2:$T$50,5,FALSE()),IF(D59&gt;=80,VLOOKUP(C59,_Lookups!$P$2:$T$50,5,FALSE())*0.85,IF(D59&gt;=70,VLOOKUP(C59,_Lookups!$P$2:$T$50,5,FALSE())*0.7,IF(D59&gt;=60,VLOOKUP(C59,_Lookups!$P$2:$T$50,5,FALSE())*0.55,IF(D59&gt;=50,VLOOKUP(C59,_Lookups!$P$2:$T$50,5,FALSE())*0.4,IF(D59&gt;=40,VLOOKUP(C59,_Lookups!$P$2:$T$50,5,FALSE())*0.3,VLOOKUP(C59,_Lookups!$P$2:$T$50,5,FALSE())*0.25))))))),IF(D59&gt;=90,7,IF(D59&gt;=80,5.95,IF(D59&gt;=70,4.9,IF(D59&gt;=60,3.85,IF(D59&gt;=50,2.8,IF(D59&gt;=40,2.1,1.75)))))))</f>
        <v>1.75</v>
      </c>
      <c r="F59">
        <f>IFERROR(B15,"")</f>
        <v>0</v>
      </c>
      <c r="G59">
        <f t="shared" si="0"/>
        <v>0</v>
      </c>
      <c r="H59">
        <f>IFERROR(IF(D59&gt;=90,0.67,IF(D59&gt;=80,0.55,IF(D59&gt;=70,0.45,0.35))),0.5)</f>
        <v>0.35</v>
      </c>
      <c r="I59">
        <f t="shared" si="1"/>
        <v>0</v>
      </c>
    </row>
    <row r="61" spans="1:9" ht="15" customHeight="1">
      <c r="A61" s="24" t="s">
        <v>1155</v>
      </c>
      <c r="F61">
        <f>SUM(F54:F59)</f>
        <v>118.4931</v>
      </c>
      <c r="G61">
        <f>SUM(G54:G59)</f>
        <v>2073.6292500000004</v>
      </c>
      <c r="I61">
        <f>SUM(I54:I59)</f>
        <v>1366.9165125</v>
      </c>
    </row>
    <row r="63" spans="1:9" ht="15" customHeight="1">
      <c r="A63" s="24" t="s">
        <v>1156</v>
      </c>
    </row>
    <row r="64" spans="1:9" ht="15" customHeight="1">
      <c r="A64" t="s">
        <v>1157</v>
      </c>
      <c r="B64" s="29">
        <f>G61</f>
        <v>2073.6292500000004</v>
      </c>
    </row>
    <row r="65" spans="1:2" ht="15" customHeight="1">
      <c r="A65" t="s">
        <v>1158</v>
      </c>
      <c r="B65" s="29">
        <f>IFERROR(IF(F61=0,"",ROUND(SUMPRODUCT(D54:D59,F54:F59)/F61,0)),"")</f>
        <v>0</v>
      </c>
    </row>
    <row r="66" spans="1:2" ht="15" customHeight="1">
      <c r="A66" t="s">
        <v>1159</v>
      </c>
      <c r="B66" s="29">
        <f>IFERROR(IF(B64="","",ROUND(B64*0.35,0)),"")</f>
        <v>726</v>
      </c>
    </row>
    <row r="67" spans="1:2" ht="15" customHeight="1">
      <c r="A67" t="s">
        <v>1160</v>
      </c>
      <c r="B67" s="29">
        <f>IFERROR(IF(OR(B65="",B66=""),"",ROUND(B66*MAX(0.35,0.45+(B65-70)*0.011),0)),"")</f>
        <v>254</v>
      </c>
    </row>
    <row r="68" spans="1:2" ht="15" customHeight="1">
      <c r="A68" t="s">
        <v>1161</v>
      </c>
      <c r="B68" s="29" t="str">
        <f>IFERROR(IF(OR(B66="",B67=""),"",TEXT(B67/B66,"0%")),"")</f>
        <v>35%</v>
      </c>
    </row>
    <row r="69" spans="1:2" ht="15" customHeight="1">
      <c r="A69" s="23" t="s">
        <v>1162</v>
      </c>
      <c r="B69" s="186">
        <f>IFERROR(IF(OR(B66="",B67=""),"",B66-B67),"")</f>
        <v>472</v>
      </c>
    </row>
    <row r="70" spans="1:2" ht="15" customHeight="1">
      <c r="A70" t="s">
        <v>1163</v>
      </c>
      <c r="B70" s="29">
        <f>B7</f>
        <v>121.17600000000002</v>
      </c>
    </row>
    <row r="71" spans="1:2" ht="15" customHeight="1">
      <c r="A71" t="s">
        <v>161</v>
      </c>
      <c r="B71" s="29">
        <f>IFERROR(IF(OR(B69="",B70="",B70=0),"",ROUND(B69/B70*0.2,2)),"")</f>
        <v>0.78</v>
      </c>
    </row>
    <row r="72" spans="1:2" ht="15" customHeight="1">
      <c r="A72" t="s">
        <v>912</v>
      </c>
      <c r="B72" s="29" t="str">
        <f>IFERROR(IF(B71="","",IF(B71&lt;1,"Very Low (clean)",IF(B71&lt;1.3,"Low (ginjo)",IF(B71&lt;1.6,"Standard",IF(B71&lt;2,"High (junmai)","Very High (kimoto)"))))),"")</f>
        <v>Very Low (clean)</v>
      </c>
    </row>
  </sheetData>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3"/>
  <sheetViews>
    <sheetView zoomScale="120" workbookViewId="0"/>
  </sheetViews>
  <sheetFormatPr baseColWidth="10" defaultColWidth="8.83203125" defaultRowHeight="15"/>
  <cols>
    <col min="1" max="1" width="21" customWidth="1"/>
    <col min="2" max="2" width="14" customWidth="1"/>
    <col min="3" max="3" width="40" customWidth="1"/>
  </cols>
  <sheetData>
    <row r="1" spans="1:2" ht="18" customHeight="1">
      <c r="A1" s="13" t="s">
        <v>1164</v>
      </c>
      <c r="B1" s="180" t="str">
        <f>Recipe!B5</f>
        <v>Select ▽</v>
      </c>
    </row>
    <row r="2" spans="1:2" ht="18" customHeight="1">
      <c r="A2" s="16" t="s">
        <v>1165</v>
      </c>
      <c r="B2" s="187">
        <f>IFERROR(MATCH(_Inputs!B1,_Presets!$A$2:$A$100,0),"")</f>
        <v>1</v>
      </c>
    </row>
    <row r="3" spans="1:2" ht="18" customHeight="1">
      <c r="A3" s="32"/>
      <c r="B3" s="32"/>
    </row>
    <row r="4" spans="1:2" ht="18" customHeight="1">
      <c r="A4" s="16" t="s">
        <v>97</v>
      </c>
      <c r="B4" s="187">
        <f>Recipe!B4</f>
        <v>99</v>
      </c>
    </row>
    <row r="5" spans="1:2" ht="18" customHeight="1">
      <c r="A5" s="16" t="s">
        <v>1166</v>
      </c>
      <c r="B5" s="187">
        <f>IF(_Inputs!B2="",0.2,INDEX(_Presets!$B$2:$B$100,_Inputs!B2))</f>
        <v>0.22</v>
      </c>
    </row>
    <row r="6" spans="1:2" ht="18" customHeight="1">
      <c r="A6" s="16" t="s">
        <v>1167</v>
      </c>
      <c r="B6" s="187">
        <f>IF(B1="Select","",IFERROR(VLOOKUP(B1,_Presets!$A$2:$C$100,3,FALSE()),1.3))</f>
        <v>1.3</v>
      </c>
    </row>
    <row r="7" spans="1:2" ht="18" customHeight="1">
      <c r="A7" s="16" t="s">
        <v>1168</v>
      </c>
      <c r="B7" s="187">
        <f>IF(_Inputs!B2="",0.07,INDEX(_Presets!$P$2:$P$100,_Inputs!B2))</f>
        <v>7.0000000000000007E-2</v>
      </c>
    </row>
    <row r="8" spans="1:2" ht="18" customHeight="1">
      <c r="A8" s="16" t="s">
        <v>1169</v>
      </c>
      <c r="B8" s="187">
        <f>IF(_Inputs!B2="",0.27,INDEX(_Presets!$D$2:$D$100,_Inputs!B2))</f>
        <v>0.15</v>
      </c>
    </row>
    <row r="9" spans="1:2" ht="18" customHeight="1">
      <c r="A9" s="16" t="s">
        <v>1170</v>
      </c>
      <c r="B9" s="187">
        <f>IF(_Inputs!B2="",0.34,INDEX(_Presets!$E$2:$E$100,_Inputs!B2))</f>
        <v>0.35</v>
      </c>
    </row>
    <row r="10" spans="1:2" ht="18" customHeight="1">
      <c r="A10" s="16" t="s">
        <v>1171</v>
      </c>
      <c r="B10" s="187">
        <f>IF(_Inputs!B2="",0.39,INDEX(_Presets!$F$2:$F$100,_Inputs!B2))</f>
        <v>0.5</v>
      </c>
    </row>
    <row r="11" spans="1:2" ht="18" customHeight="1">
      <c r="A11" s="16" t="s">
        <v>1172</v>
      </c>
      <c r="B11" s="187">
        <f>IF(_Inputs!B2="",0,INDEX(_Presets!$G$2:$G$100,_Inputs!B2))</f>
        <v>0</v>
      </c>
    </row>
    <row r="12" spans="1:2" ht="18" customHeight="1">
      <c r="A12" s="16" t="s">
        <v>1173</v>
      </c>
      <c r="B12" s="187">
        <f>IF(_Inputs!B2="","",INDEX(_Presets!$H$2:$H$100,_Inputs!B2))</f>
        <v>0.28000000000000003</v>
      </c>
    </row>
    <row r="13" spans="1:2" ht="18" customHeight="1">
      <c r="A13" s="16" t="s">
        <v>1174</v>
      </c>
      <c r="B13" s="187">
        <f>IF(_Inputs!B2="","",INDEX(_Presets!$I$2:$I$100,_Inputs!B2))</f>
        <v>0.22</v>
      </c>
    </row>
    <row r="14" spans="1:2" ht="18" customHeight="1">
      <c r="A14" s="16" t="s">
        <v>1175</v>
      </c>
      <c r="B14" s="187">
        <f>IF(_Inputs!B2="","",INDEX(_Presets!$J$2:$J$100,_Inputs!B2))</f>
        <v>0.18</v>
      </c>
    </row>
    <row r="15" spans="1:2" ht="18" customHeight="1">
      <c r="A15" s="16" t="s">
        <v>1176</v>
      </c>
      <c r="B15" s="187">
        <f>IF(_Inputs!B2="","",INDEX(_Presets!$K$2:$K$100,_Inputs!B2))</f>
        <v>0</v>
      </c>
    </row>
    <row r="16" spans="1:2" ht="18" customHeight="1">
      <c r="A16" s="16" t="s">
        <v>1177</v>
      </c>
      <c r="B16" s="187">
        <f>IF(_Inputs!B2="","",INDEX(_Presets!$N$2:$N$100,_Inputs!B2))</f>
        <v>1.45</v>
      </c>
    </row>
    <row r="17" spans="1:2" ht="18" customHeight="1">
      <c r="A17" s="16" t="s">
        <v>1178</v>
      </c>
      <c r="B17" s="187">
        <f>IF(_Inputs!B2="","",INDEX(_Presets!$Q$2:$Q$100,_Inputs!B2))</f>
        <v>0.33</v>
      </c>
    </row>
    <row r="18" spans="1:2" ht="18" customHeight="1">
      <c r="A18" s="32" t="s">
        <v>1179</v>
      </c>
      <c r="B18" s="188">
        <f>IF(_Inputs!B2="","",INDEX(_Presets!$R$2:$R$100,_Inputs!B2))</f>
        <v>1.1000000000000001</v>
      </c>
    </row>
    <row r="19" spans="1:2" ht="18" customHeight="1">
      <c r="A19" s="32" t="s">
        <v>1180</v>
      </c>
      <c r="B19" s="188">
        <f>IF(_Inputs!B2="","",INDEX(_Presets!$S$2:$S$100,_Inputs!B2))</f>
        <v>0</v>
      </c>
    </row>
    <row r="20" spans="1:2" ht="18" customHeight="1">
      <c r="A20" s="16" t="s">
        <v>1181</v>
      </c>
      <c r="B20" s="187">
        <f>IF(_Inputs!B2="","",INDEX(_Presets!$L$2:$L$100,_Inputs!B2))</f>
        <v>0.95</v>
      </c>
    </row>
    <row r="21" spans="1:2" ht="18" customHeight="1">
      <c r="A21" s="16" t="s">
        <v>1182</v>
      </c>
      <c r="B21" s="187">
        <f>IF(_Inputs!B2="","",INDEX(_Presets!$M$2:$M$100,_Inputs!B2))</f>
        <v>1.25</v>
      </c>
    </row>
    <row r="22" spans="1:2" ht="18" customHeight="1">
      <c r="A22" s="16" t="s">
        <v>1183</v>
      </c>
      <c r="B22" s="187">
        <f>IF(_Inputs!B2="","",INDEX(_Presets!$O$2:$O$100,_Inputs!B2))</f>
        <v>0</v>
      </c>
    </row>
    <row r="23" spans="1:2" ht="18" customHeight="1">
      <c r="A23" s="16"/>
      <c r="B23" s="187"/>
    </row>
    <row r="24" spans="1:2" ht="18" customHeight="1">
      <c r="A24" s="16" t="s">
        <v>1184</v>
      </c>
      <c r="B24" s="187">
        <f>IF(Recipe!B18="Select","",IF(Recipe!B18="Lot A",IF(Recipe!C11="",IF(_Inputs!$B$2&lt;&gt;"",INDEX(_Presets!$U$2:$U$100,_Inputs!$B$2),70),Recipe!C11),IF(Recipe!B18="Lot B",IF(Recipe!C12="",IF(_Inputs!$B$2&lt;&gt;"",INDEX(_Presets!$U$2:$U$100,_Inputs!$B$2),70),Recipe!C12),IF(Recipe!B18="Lot C",IF(Recipe!C13="",IF(_Inputs!$B$2&lt;&gt;"",INDEX(_Presets!$U$2:$U$100,_Inputs!$B$2),70),Recipe!C13),IF(Recipe!B18="Lot D",IF(Recipe!C14="",IF(_Inputs!$B$2&lt;&gt;"",INDEX(_Presets!$U$2:$U$100,_Inputs!$B$2),70),Recipe!C14),"")))))</f>
        <v>0</v>
      </c>
    </row>
    <row r="25" spans="1:2" ht="18" customHeight="1">
      <c r="A25" s="16" t="s">
        <v>1185</v>
      </c>
      <c r="B25" s="187" t="str">
        <f>IF(Recipe!B18="Select","",IF(Recipe!B18="Lot A",Recipe!B11,IF(Recipe!B18="Lot B",Recipe!B12,IF(Recipe!B18="Lot C",Recipe!B13,IF(Recipe!B18="Lot D",Recipe!B14,"")))))</f>
        <v>Select ▽</v>
      </c>
    </row>
    <row r="26" spans="1:2" ht="18" customHeight="1">
      <c r="A26" s="16" t="s">
        <v>1186</v>
      </c>
      <c r="B26" s="187" t="str">
        <f>IF(OR(_Inputs!B24="",_Inputs!B24=0),"",IF(_Inputs!B24&gt;=90,7.5,IF(_Inputs!B24&gt;=80,6.4,IF(_Inputs!B24&gt;=70,5.25,IF(_Inputs!B24&gt;=60,4,IF(_Inputs!B24&gt;=50,2.9,IF(_Inputs!B24&gt;=40,2.2,1.8)))))))</f>
        <v/>
      </c>
    </row>
    <row r="27" spans="1:2" ht="18" customHeight="1">
      <c r="A27" s="32" t="s">
        <v>1187</v>
      </c>
      <c r="B27" s="32">
        <f>IFERROR(VLOOKUP(B25,_Lookups!$P$2:$U$20,2,FALSE()),0.41)</f>
        <v>0.41</v>
      </c>
    </row>
    <row r="28" spans="1:2" ht="18" customHeight="1">
      <c r="A28" s="16" t="s">
        <v>1188</v>
      </c>
      <c r="B28" s="187">
        <f>IFERROR(VLOOKUP(B25,_Lookups!$P$2:$U$20,3,FALSE()),0.21)</f>
        <v>0.21</v>
      </c>
    </row>
    <row r="29" spans="1:2" ht="18" customHeight="1">
      <c r="A29" s="16" t="s">
        <v>1141</v>
      </c>
      <c r="B29" s="187">
        <f>IFERROR(VLOOKUP(B25,_Lookups!$P$2:$U$20,4,FALSE()),1.97)</f>
        <v>1.97</v>
      </c>
    </row>
    <row r="30" spans="1:2" ht="18" customHeight="1">
      <c r="A30" s="16" t="s">
        <v>1189</v>
      </c>
      <c r="B30" s="187" t="str">
        <f>IFERROR(VLOOKUP(Recipe!B7,_Lookups!$B$2:$C$40,2,FALSE()),"")</f>
        <v/>
      </c>
    </row>
    <row r="31" spans="1:2" ht="18" customHeight="1">
      <c r="A31" s="16" t="s">
        <v>1190</v>
      </c>
      <c r="B31" s="187">
        <f>IFERROR(VLOOKUP(B30,_Lookups!$V$2:$W$5,2,FALSE()),0)</f>
        <v>0</v>
      </c>
    </row>
    <row r="32" spans="1:2" ht="18" customHeight="1">
      <c r="A32" s="16" t="s">
        <v>133</v>
      </c>
      <c r="B32" s="187" t="str">
        <f>Recipe!B36</f>
        <v>Select ▽</v>
      </c>
    </row>
    <row r="33" spans="1:2" ht="15" customHeight="1">
      <c r="A33" t="s">
        <v>1191</v>
      </c>
      <c r="B33">
        <f>IFERROR(VLOOKUP(_Inputs!B32,_Lookups!$CH$1:$CI$20,2,FALSE()),"")</f>
        <v>0</v>
      </c>
    </row>
  </sheetData>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45"/>
  <sheetViews>
    <sheetView zoomScale="120" workbookViewId="0"/>
  </sheetViews>
  <sheetFormatPr baseColWidth="10" defaultColWidth="8.83203125" defaultRowHeight="15"/>
  <cols>
    <col min="1" max="1" width="26" customWidth="1"/>
    <col min="2" max="2" width="9" customWidth="1"/>
    <col min="3" max="3" width="10" customWidth="1"/>
    <col min="4" max="4" width="9" customWidth="1"/>
    <col min="5" max="5" width="10" customWidth="1"/>
    <col min="7" max="7" width="9" customWidth="1"/>
    <col min="9" max="9" width="10" customWidth="1"/>
    <col min="11" max="11" width="9" customWidth="1"/>
    <col min="12" max="12" width="10" customWidth="1"/>
    <col min="13" max="13" width="11" customWidth="1"/>
    <col min="15" max="15" width="10" customWidth="1"/>
    <col min="16" max="16" width="9" customWidth="1"/>
    <col min="17" max="17" width="13" customWidth="1"/>
    <col min="18" max="18" width="14" customWidth="1"/>
    <col min="19" max="19" width="16" customWidth="1"/>
    <col min="20" max="20" width="20" customWidth="1"/>
    <col min="21" max="21" width="15" customWidth="1"/>
  </cols>
  <sheetData>
    <row r="1" spans="1:30" ht="21.75" customHeight="1">
      <c r="A1" s="189" t="s">
        <v>1192</v>
      </c>
      <c r="B1" s="189" t="s">
        <v>1193</v>
      </c>
      <c r="C1" s="189" t="s">
        <v>1194</v>
      </c>
      <c r="D1" s="189" t="s">
        <v>1195</v>
      </c>
      <c r="E1" s="189" t="s">
        <v>1196</v>
      </c>
      <c r="F1" s="189" t="s">
        <v>1197</v>
      </c>
      <c r="G1" s="189" t="s">
        <v>1198</v>
      </c>
      <c r="H1" s="189" t="s">
        <v>1199</v>
      </c>
      <c r="I1" s="189" t="s">
        <v>1200</v>
      </c>
      <c r="J1" s="189" t="s">
        <v>1201</v>
      </c>
      <c r="K1" s="189" t="s">
        <v>1202</v>
      </c>
      <c r="L1" s="189" t="s">
        <v>1203</v>
      </c>
      <c r="M1" s="189" t="s">
        <v>1204</v>
      </c>
      <c r="N1" s="189" t="s">
        <v>1205</v>
      </c>
      <c r="O1" s="184" t="s">
        <v>1206</v>
      </c>
      <c r="P1" s="184" t="s">
        <v>1207</v>
      </c>
      <c r="Q1" s="184" t="s">
        <v>1208</v>
      </c>
      <c r="R1" s="184" t="s">
        <v>1209</v>
      </c>
      <c r="S1" s="184" t="s">
        <v>1210</v>
      </c>
      <c r="T1" s="184" t="s">
        <v>1211</v>
      </c>
      <c r="U1" s="184" t="s">
        <v>1212</v>
      </c>
      <c r="V1" t="s">
        <v>1213</v>
      </c>
      <c r="W1" t="s">
        <v>1214</v>
      </c>
      <c r="X1" t="s">
        <v>1215</v>
      </c>
      <c r="Y1" t="s">
        <v>1216</v>
      </c>
      <c r="Z1" t="s">
        <v>1217</v>
      </c>
      <c r="AA1" t="s">
        <v>1218</v>
      </c>
      <c r="AB1" t="s">
        <v>1219</v>
      </c>
      <c r="AC1" t="s">
        <v>1220</v>
      </c>
      <c r="AD1" t="s">
        <v>1221</v>
      </c>
    </row>
    <row r="2" spans="1:30" ht="18" customHeight="1">
      <c r="A2" s="51" t="s">
        <v>17</v>
      </c>
      <c r="B2" s="190">
        <v>0.22</v>
      </c>
      <c r="C2" s="32">
        <v>1.3</v>
      </c>
      <c r="D2" s="32">
        <v>0.15</v>
      </c>
      <c r="E2" s="32">
        <v>0.35</v>
      </c>
      <c r="F2" s="32">
        <v>0.5</v>
      </c>
      <c r="G2" s="32">
        <v>0</v>
      </c>
      <c r="H2" s="32">
        <v>0.28000000000000003</v>
      </c>
      <c r="I2" s="32">
        <v>0.22</v>
      </c>
      <c r="J2" s="32">
        <v>0.18</v>
      </c>
      <c r="K2" s="32">
        <v>0</v>
      </c>
      <c r="L2" s="32">
        <v>0.95</v>
      </c>
      <c r="M2" s="32">
        <v>1.25</v>
      </c>
      <c r="N2" s="32">
        <v>1.45</v>
      </c>
      <c r="O2" s="32">
        <v>0</v>
      </c>
      <c r="P2" s="32">
        <v>7.0000000000000007E-2</v>
      </c>
      <c r="Q2" s="32">
        <v>0.33</v>
      </c>
      <c r="R2" s="32">
        <v>1.1000000000000001</v>
      </c>
      <c r="S2" s="32">
        <v>0</v>
      </c>
      <c r="T2" s="32"/>
      <c r="U2" s="32"/>
    </row>
    <row r="3" spans="1:30" ht="18" customHeight="1">
      <c r="A3" s="191" t="s">
        <v>1222</v>
      </c>
      <c r="B3" s="192">
        <v>0.23</v>
      </c>
      <c r="C3" s="192">
        <v>1.3</v>
      </c>
      <c r="D3" s="192">
        <v>0.2</v>
      </c>
      <c r="E3" s="192">
        <v>0.3</v>
      </c>
      <c r="F3" s="192">
        <v>0.5</v>
      </c>
      <c r="G3" s="192">
        <v>0</v>
      </c>
      <c r="H3" s="192">
        <v>0.6</v>
      </c>
      <c r="I3" s="192">
        <v>0.3</v>
      </c>
      <c r="J3" s="192">
        <v>0.1</v>
      </c>
      <c r="K3" s="192">
        <v>0</v>
      </c>
      <c r="L3" s="192">
        <v>0.4</v>
      </c>
      <c r="M3" s="192">
        <v>0.3</v>
      </c>
      <c r="N3" s="192">
        <v>0.3</v>
      </c>
      <c r="O3" s="180">
        <v>0</v>
      </c>
      <c r="P3" s="180">
        <v>7.0000000000000007E-2</v>
      </c>
      <c r="Q3" s="180">
        <v>0.33</v>
      </c>
      <c r="R3" s="180">
        <v>1.2</v>
      </c>
      <c r="S3" s="180">
        <v>0</v>
      </c>
      <c r="T3" s="180"/>
      <c r="U3" s="32"/>
    </row>
    <row r="4" spans="1:30" ht="18" customHeight="1">
      <c r="A4" s="193" t="s">
        <v>1223</v>
      </c>
      <c r="B4" s="194">
        <v>0.217</v>
      </c>
      <c r="C4" s="194">
        <v>1.3</v>
      </c>
      <c r="D4" s="194">
        <v>0.16669999999999999</v>
      </c>
      <c r="E4" s="194">
        <v>0.33329999999999999</v>
      </c>
      <c r="F4" s="194">
        <v>0.5</v>
      </c>
      <c r="G4" s="194">
        <v>0</v>
      </c>
      <c r="H4" s="194">
        <v>0.222</v>
      </c>
      <c r="I4" s="194">
        <v>0.33300000000000002</v>
      </c>
      <c r="J4" s="194">
        <v>0.44400000000000001</v>
      </c>
      <c r="K4" s="194">
        <v>0</v>
      </c>
      <c r="L4" s="194">
        <v>0.95</v>
      </c>
      <c r="M4" s="194">
        <v>1.25</v>
      </c>
      <c r="N4" s="194">
        <v>1.45</v>
      </c>
      <c r="O4" s="195">
        <v>0</v>
      </c>
      <c r="P4" s="195">
        <v>7.0000000000000007E-2</v>
      </c>
      <c r="Q4" s="195">
        <v>0.308</v>
      </c>
      <c r="R4" s="195">
        <v>1.1000000000000001</v>
      </c>
      <c r="S4" s="195">
        <v>0</v>
      </c>
      <c r="T4" s="180" t="s">
        <v>1224</v>
      </c>
      <c r="U4" s="32">
        <v>70</v>
      </c>
      <c r="X4" t="s">
        <v>107</v>
      </c>
      <c r="Y4" t="s">
        <v>107</v>
      </c>
      <c r="Z4" t="s">
        <v>107</v>
      </c>
      <c r="AA4" t="s">
        <v>107</v>
      </c>
      <c r="AB4" t="s">
        <v>107</v>
      </c>
      <c r="AC4" t="s">
        <v>107</v>
      </c>
      <c r="AD4" t="s">
        <v>107</v>
      </c>
    </row>
    <row r="5" spans="1:30" ht="18" customHeight="1">
      <c r="A5" s="193" t="s">
        <v>840</v>
      </c>
      <c r="B5" s="194">
        <v>0.22</v>
      </c>
      <c r="C5" s="194">
        <v>1.3</v>
      </c>
      <c r="D5" s="194">
        <v>0.16669999999999999</v>
      </c>
      <c r="E5" s="194">
        <v>0.33329999999999999</v>
      </c>
      <c r="F5" s="194">
        <v>0.5</v>
      </c>
      <c r="G5" s="194">
        <v>0</v>
      </c>
      <c r="H5" s="194">
        <v>0.222</v>
      </c>
      <c r="I5" s="194">
        <v>0.33300000000000002</v>
      </c>
      <c r="J5" s="194">
        <v>0.44400000000000001</v>
      </c>
      <c r="K5" s="194">
        <v>0</v>
      </c>
      <c r="L5" s="194">
        <v>0.95</v>
      </c>
      <c r="M5" s="194">
        <v>1.25</v>
      </c>
      <c r="N5" s="194">
        <v>1.45</v>
      </c>
      <c r="O5" s="195">
        <v>0</v>
      </c>
      <c r="P5" s="195">
        <v>7.0000000000000007E-2</v>
      </c>
      <c r="Q5" s="195">
        <v>0.33</v>
      </c>
      <c r="R5" s="195">
        <v>1.1000000000000001</v>
      </c>
      <c r="S5" s="195">
        <v>0</v>
      </c>
      <c r="T5" s="180" t="s">
        <v>1225</v>
      </c>
      <c r="U5" s="32">
        <v>70</v>
      </c>
      <c r="X5" t="s">
        <v>107</v>
      </c>
      <c r="Y5" t="s">
        <v>107</v>
      </c>
      <c r="Z5" t="s">
        <v>107</v>
      </c>
      <c r="AA5" t="s">
        <v>107</v>
      </c>
      <c r="AB5" t="s">
        <v>107</v>
      </c>
      <c r="AC5" t="s">
        <v>107</v>
      </c>
      <c r="AD5" t="s">
        <v>107</v>
      </c>
    </row>
    <row r="6" spans="1:30" ht="18" customHeight="1">
      <c r="A6" s="193" t="s">
        <v>847</v>
      </c>
      <c r="B6" s="194">
        <v>0.22</v>
      </c>
      <c r="C6" s="194">
        <v>1.3</v>
      </c>
      <c r="D6" s="194">
        <v>0.16669999999999999</v>
      </c>
      <c r="E6" s="194">
        <v>0.33329999999999999</v>
      </c>
      <c r="F6" s="194">
        <v>0.5</v>
      </c>
      <c r="G6" s="194">
        <v>0</v>
      </c>
      <c r="H6" s="194">
        <v>0.222</v>
      </c>
      <c r="I6" s="194">
        <v>0.33300000000000002</v>
      </c>
      <c r="J6" s="194">
        <v>0.44400000000000001</v>
      </c>
      <c r="K6" s="194">
        <v>0</v>
      </c>
      <c r="L6" s="194">
        <v>0.95</v>
      </c>
      <c r="M6" s="194">
        <v>1.25</v>
      </c>
      <c r="N6" s="194">
        <v>1.45</v>
      </c>
      <c r="O6" s="195">
        <v>0</v>
      </c>
      <c r="P6" s="195">
        <v>7.0000000000000007E-2</v>
      </c>
      <c r="Q6" s="195">
        <v>0.33</v>
      </c>
      <c r="R6" s="195">
        <v>1.1000000000000001</v>
      </c>
      <c r="S6" s="195">
        <v>0</v>
      </c>
      <c r="T6" s="180" t="s">
        <v>1226</v>
      </c>
      <c r="U6" s="32">
        <v>55</v>
      </c>
      <c r="X6" t="s">
        <v>107</v>
      </c>
      <c r="Y6" t="s">
        <v>107</v>
      </c>
      <c r="Z6" t="s">
        <v>107</v>
      </c>
      <c r="AA6" t="s">
        <v>107</v>
      </c>
      <c r="AB6" t="s">
        <v>107</v>
      </c>
      <c r="AC6" t="s">
        <v>107</v>
      </c>
      <c r="AD6" t="s">
        <v>107</v>
      </c>
    </row>
    <row r="7" spans="1:30" ht="18" customHeight="1">
      <c r="A7" s="193" t="s">
        <v>1227</v>
      </c>
      <c r="B7" s="194">
        <v>0.22</v>
      </c>
      <c r="C7" s="194">
        <v>1.3</v>
      </c>
      <c r="D7" s="194">
        <v>0.16669999999999999</v>
      </c>
      <c r="E7" s="194">
        <v>0.33329999999999999</v>
      </c>
      <c r="F7" s="194">
        <v>0.5</v>
      </c>
      <c r="G7" s="194">
        <v>0</v>
      </c>
      <c r="H7" s="194">
        <v>0.222</v>
      </c>
      <c r="I7" s="194">
        <v>0.33300000000000002</v>
      </c>
      <c r="J7" s="194">
        <v>0.44400000000000001</v>
      </c>
      <c r="K7" s="194">
        <v>0</v>
      </c>
      <c r="L7" s="194">
        <v>0.95</v>
      </c>
      <c r="M7" s="194">
        <v>1.25</v>
      </c>
      <c r="N7" s="194">
        <v>1.45</v>
      </c>
      <c r="O7" s="195">
        <v>0</v>
      </c>
      <c r="P7" s="195">
        <v>7.0000000000000007E-2</v>
      </c>
      <c r="Q7" s="195">
        <v>0.33</v>
      </c>
      <c r="R7" s="195">
        <v>1.1000000000000001</v>
      </c>
      <c r="S7" s="195">
        <v>0</v>
      </c>
      <c r="T7" s="180" t="s">
        <v>1226</v>
      </c>
      <c r="U7" s="32">
        <v>55</v>
      </c>
      <c r="X7" t="s">
        <v>107</v>
      </c>
      <c r="Y7" t="s">
        <v>107</v>
      </c>
      <c r="Z7" t="s">
        <v>107</v>
      </c>
      <c r="AA7" t="s">
        <v>107</v>
      </c>
      <c r="AB7" t="s">
        <v>107</v>
      </c>
      <c r="AC7" t="s">
        <v>107</v>
      </c>
      <c r="AD7" t="s">
        <v>107</v>
      </c>
    </row>
    <row r="8" spans="1:30" ht="18" customHeight="1">
      <c r="A8" s="193" t="s">
        <v>851</v>
      </c>
      <c r="B8" s="194">
        <v>0.22</v>
      </c>
      <c r="C8" s="194">
        <v>1.3</v>
      </c>
      <c r="D8" s="194">
        <v>0.16669999999999999</v>
      </c>
      <c r="E8" s="194">
        <v>0.33329999999999999</v>
      </c>
      <c r="F8" s="194">
        <v>0.5</v>
      </c>
      <c r="G8" s="194">
        <v>0</v>
      </c>
      <c r="H8" s="194">
        <v>0.222</v>
      </c>
      <c r="I8" s="194">
        <v>0.33300000000000002</v>
      </c>
      <c r="J8" s="194">
        <v>0.44400000000000001</v>
      </c>
      <c r="K8" s="194">
        <v>0</v>
      </c>
      <c r="L8" s="194">
        <v>0.95</v>
      </c>
      <c r="M8" s="194">
        <v>1.25</v>
      </c>
      <c r="N8" s="194">
        <v>1.45</v>
      </c>
      <c r="O8" s="195">
        <v>0</v>
      </c>
      <c r="P8" s="195">
        <v>7.0000000000000007E-2</v>
      </c>
      <c r="Q8" s="195">
        <v>0.33</v>
      </c>
      <c r="R8" s="195">
        <v>1.1000000000000001</v>
      </c>
      <c r="S8" s="195">
        <v>0</v>
      </c>
      <c r="T8" s="180" t="s">
        <v>1226</v>
      </c>
      <c r="U8" s="32">
        <v>35</v>
      </c>
      <c r="X8" t="s">
        <v>107</v>
      </c>
      <c r="Y8" t="s">
        <v>107</v>
      </c>
      <c r="Z8" t="s">
        <v>107</v>
      </c>
      <c r="AA8" t="s">
        <v>107</v>
      </c>
      <c r="AB8" t="s">
        <v>107</v>
      </c>
      <c r="AC8" t="s">
        <v>107</v>
      </c>
      <c r="AD8" t="s">
        <v>107</v>
      </c>
    </row>
    <row r="9" spans="1:30" ht="18" customHeight="1">
      <c r="A9" s="193" t="s">
        <v>1228</v>
      </c>
      <c r="B9" s="194">
        <v>0.22</v>
      </c>
      <c r="C9" s="194">
        <v>1.3</v>
      </c>
      <c r="D9" s="194">
        <v>0.16669999999999999</v>
      </c>
      <c r="E9" s="194">
        <v>0.33329999999999999</v>
      </c>
      <c r="F9" s="194">
        <v>0.5</v>
      </c>
      <c r="G9" s="194">
        <v>0</v>
      </c>
      <c r="H9" s="194">
        <v>0.222</v>
      </c>
      <c r="I9" s="194">
        <v>0.33300000000000002</v>
      </c>
      <c r="J9" s="194">
        <v>0.44400000000000001</v>
      </c>
      <c r="K9" s="194">
        <v>0</v>
      </c>
      <c r="L9" s="194">
        <v>0.95</v>
      </c>
      <c r="M9" s="194">
        <v>1.25</v>
      </c>
      <c r="N9" s="194">
        <v>1.45</v>
      </c>
      <c r="O9" s="195">
        <v>0</v>
      </c>
      <c r="P9" s="195">
        <v>7.0000000000000007E-2</v>
      </c>
      <c r="Q9" s="195">
        <v>0.33</v>
      </c>
      <c r="R9" s="195">
        <v>1.1000000000000001</v>
      </c>
      <c r="S9" s="195">
        <v>0</v>
      </c>
      <c r="T9" s="180" t="s">
        <v>1226</v>
      </c>
      <c r="U9" s="32">
        <v>40</v>
      </c>
      <c r="X9" t="s">
        <v>107</v>
      </c>
      <c r="Y9" t="s">
        <v>107</v>
      </c>
      <c r="Z9" t="s">
        <v>107</v>
      </c>
      <c r="AA9" t="s">
        <v>107</v>
      </c>
      <c r="AB9" t="s">
        <v>107</v>
      </c>
      <c r="AC9" t="s">
        <v>107</v>
      </c>
      <c r="AD9" t="s">
        <v>107</v>
      </c>
    </row>
    <row r="10" spans="1:30" ht="18" customHeight="1">
      <c r="A10" s="193" t="s">
        <v>1229</v>
      </c>
      <c r="B10" s="194">
        <v>0.22</v>
      </c>
      <c r="C10" s="194">
        <v>1.3</v>
      </c>
      <c r="D10" s="194">
        <v>0.16669999999999999</v>
      </c>
      <c r="E10" s="194">
        <v>0.33329999999999999</v>
      </c>
      <c r="F10" s="194">
        <v>0.5</v>
      </c>
      <c r="G10" s="194">
        <v>0</v>
      </c>
      <c r="H10" s="194">
        <v>0.222</v>
      </c>
      <c r="I10" s="194">
        <v>0.33300000000000002</v>
      </c>
      <c r="J10" s="194">
        <v>0.44400000000000001</v>
      </c>
      <c r="K10" s="194">
        <v>0</v>
      </c>
      <c r="L10" s="194">
        <v>0.95</v>
      </c>
      <c r="M10" s="194">
        <v>1.25</v>
      </c>
      <c r="N10" s="194">
        <v>1.45</v>
      </c>
      <c r="O10" s="195">
        <v>0</v>
      </c>
      <c r="P10" s="195">
        <v>7.0000000000000007E-2</v>
      </c>
      <c r="Q10" s="195">
        <v>0.33</v>
      </c>
      <c r="R10" s="195">
        <v>1.1000000000000001</v>
      </c>
      <c r="S10" s="195">
        <v>0</v>
      </c>
      <c r="T10" s="180" t="s">
        <v>1225</v>
      </c>
      <c r="U10" s="32">
        <v>70</v>
      </c>
      <c r="X10" t="s">
        <v>107</v>
      </c>
      <c r="Y10" t="s">
        <v>107</v>
      </c>
      <c r="Z10" t="s">
        <v>107</v>
      </c>
      <c r="AA10" t="s">
        <v>107</v>
      </c>
      <c r="AB10" t="s">
        <v>107</v>
      </c>
      <c r="AC10" t="s">
        <v>107</v>
      </c>
      <c r="AD10" t="s">
        <v>107</v>
      </c>
    </row>
    <row r="11" spans="1:30" ht="18" customHeight="1">
      <c r="A11" s="193" t="s">
        <v>1230</v>
      </c>
      <c r="B11" s="194">
        <v>0.22900000000000001</v>
      </c>
      <c r="C11" s="194">
        <v>1.22</v>
      </c>
      <c r="D11" s="194">
        <v>0.1497</v>
      </c>
      <c r="E11" s="194">
        <v>0.29409999999999997</v>
      </c>
      <c r="F11" s="194">
        <v>0.47060000000000002</v>
      </c>
      <c r="G11" s="194">
        <v>0</v>
      </c>
      <c r="H11" s="194">
        <v>0.222</v>
      </c>
      <c r="I11" s="194">
        <v>0.33300000000000002</v>
      </c>
      <c r="J11" s="194">
        <v>0.44400000000000001</v>
      </c>
      <c r="K11" s="194">
        <v>0</v>
      </c>
      <c r="L11" s="194">
        <v>0.92859999999999998</v>
      </c>
      <c r="M11" s="194">
        <v>1.2</v>
      </c>
      <c r="N11" s="194">
        <v>1.4318</v>
      </c>
      <c r="O11" s="195">
        <v>0</v>
      </c>
      <c r="P11" s="195">
        <v>6.5000000000000002E-2</v>
      </c>
      <c r="Q11" s="195">
        <v>0.30769999999999997</v>
      </c>
      <c r="R11" s="195">
        <v>1.0769</v>
      </c>
      <c r="S11" s="195">
        <v>0</v>
      </c>
      <c r="T11" s="180" t="s">
        <v>1224</v>
      </c>
      <c r="U11" s="32">
        <v>70</v>
      </c>
      <c r="X11" t="s">
        <v>107</v>
      </c>
      <c r="Y11" t="s">
        <v>107</v>
      </c>
      <c r="Z11" t="s">
        <v>107</v>
      </c>
      <c r="AA11" t="s">
        <v>107</v>
      </c>
      <c r="AB11" t="s">
        <v>107</v>
      </c>
      <c r="AC11" t="s">
        <v>107</v>
      </c>
      <c r="AD11" t="s">
        <v>107</v>
      </c>
    </row>
    <row r="12" spans="1:30" ht="18" customHeight="1">
      <c r="A12" s="193" t="s">
        <v>1231</v>
      </c>
      <c r="B12" s="194">
        <v>0.23350000000000001</v>
      </c>
      <c r="C12" s="194">
        <v>1.3</v>
      </c>
      <c r="D12" s="194">
        <v>0.15340000000000001</v>
      </c>
      <c r="E12" s="194">
        <v>0.28349999999999997</v>
      </c>
      <c r="F12" s="194">
        <v>0.48309999999999997</v>
      </c>
      <c r="G12" s="194">
        <v>0</v>
      </c>
      <c r="H12" s="194">
        <v>0.21</v>
      </c>
      <c r="I12" s="194">
        <v>0.26</v>
      </c>
      <c r="J12" s="194">
        <v>0.53</v>
      </c>
      <c r="K12" s="194">
        <v>0</v>
      </c>
      <c r="L12" s="194">
        <v>0.95469999999999999</v>
      </c>
      <c r="M12" s="194">
        <v>1.1763999999999999</v>
      </c>
      <c r="N12" s="194">
        <v>1.5170999999999999</v>
      </c>
      <c r="O12" s="195">
        <v>0</v>
      </c>
      <c r="P12" s="195">
        <v>0.08</v>
      </c>
      <c r="Q12" s="195">
        <v>0.33150000000000002</v>
      </c>
      <c r="R12" s="195">
        <v>1.0814999999999999</v>
      </c>
      <c r="S12" s="195">
        <v>0</v>
      </c>
      <c r="T12" s="180" t="s">
        <v>1224</v>
      </c>
      <c r="U12" s="32">
        <v>70</v>
      </c>
      <c r="X12" t="s">
        <v>107</v>
      </c>
      <c r="Y12" t="s">
        <v>107</v>
      </c>
      <c r="Z12" t="s">
        <v>107</v>
      </c>
      <c r="AA12" t="s">
        <v>107</v>
      </c>
      <c r="AB12" t="s">
        <v>107</v>
      </c>
      <c r="AC12" t="s">
        <v>107</v>
      </c>
      <c r="AD12" t="s">
        <v>107</v>
      </c>
    </row>
    <row r="13" spans="1:30" ht="18" customHeight="1">
      <c r="A13" s="193" t="s">
        <v>1232</v>
      </c>
      <c r="B13" s="194">
        <v>0.21099999999999999</v>
      </c>
      <c r="C13" s="194">
        <v>1.286</v>
      </c>
      <c r="D13" s="194">
        <v>0.16669999999999999</v>
      </c>
      <c r="E13" s="194">
        <v>0.33329999999999999</v>
      </c>
      <c r="F13" s="194">
        <v>0.5</v>
      </c>
      <c r="G13" s="194">
        <v>0</v>
      </c>
      <c r="H13" s="194">
        <v>0.222</v>
      </c>
      <c r="I13" s="194">
        <v>0.33300000000000002</v>
      </c>
      <c r="J13" s="194">
        <v>0.44400000000000001</v>
      </c>
      <c r="K13" s="194">
        <v>0</v>
      </c>
      <c r="L13" s="194">
        <v>0.95</v>
      </c>
      <c r="M13" s="194">
        <v>1.25</v>
      </c>
      <c r="N13" s="194">
        <v>1.45</v>
      </c>
      <c r="O13" s="195">
        <v>0</v>
      </c>
      <c r="P13" s="195">
        <v>7.0000000000000007E-2</v>
      </c>
      <c r="Q13" s="195">
        <v>0.33</v>
      </c>
      <c r="R13" s="195">
        <v>1.1000000000000001</v>
      </c>
      <c r="S13" s="195">
        <v>0</v>
      </c>
      <c r="T13" s="180" t="s">
        <v>1224</v>
      </c>
      <c r="U13" s="32">
        <v>70</v>
      </c>
      <c r="X13" t="s">
        <v>107</v>
      </c>
      <c r="Y13" t="s">
        <v>107</v>
      </c>
      <c r="Z13" t="s">
        <v>107</v>
      </c>
      <c r="AA13" t="s">
        <v>107</v>
      </c>
      <c r="AB13" t="s">
        <v>107</v>
      </c>
      <c r="AC13" t="s">
        <v>107</v>
      </c>
      <c r="AD13" t="s">
        <v>107</v>
      </c>
    </row>
    <row r="14" spans="1:30" ht="18" customHeight="1">
      <c r="A14" s="193" t="s">
        <v>1233</v>
      </c>
      <c r="B14" s="194">
        <v>0.2</v>
      </c>
      <c r="C14" s="194">
        <v>1.3</v>
      </c>
      <c r="D14" s="194">
        <v>0.16669999999999999</v>
      </c>
      <c r="E14" s="194">
        <v>0.33329999999999999</v>
      </c>
      <c r="F14" s="194">
        <v>0.5</v>
      </c>
      <c r="G14" s="194">
        <v>0</v>
      </c>
      <c r="H14" s="194">
        <v>0.222</v>
      </c>
      <c r="I14" s="194">
        <v>0.33300000000000002</v>
      </c>
      <c r="J14" s="194">
        <v>0.44400000000000001</v>
      </c>
      <c r="K14" s="194">
        <v>0</v>
      </c>
      <c r="L14" s="194">
        <v>0.95</v>
      </c>
      <c r="M14" s="194">
        <v>1.25</v>
      </c>
      <c r="N14" s="194">
        <v>1.45</v>
      </c>
      <c r="O14" s="195">
        <v>0</v>
      </c>
      <c r="P14" s="195">
        <v>7.0000000000000007E-2</v>
      </c>
      <c r="Q14" s="195">
        <v>0.33</v>
      </c>
      <c r="R14" s="195">
        <v>1.1000000000000001</v>
      </c>
      <c r="S14" s="195">
        <v>0</v>
      </c>
      <c r="T14" s="180" t="s">
        <v>1224</v>
      </c>
      <c r="U14" s="32">
        <v>70</v>
      </c>
      <c r="X14" t="s">
        <v>107</v>
      </c>
      <c r="Y14" t="s">
        <v>107</v>
      </c>
      <c r="Z14" t="s">
        <v>107</v>
      </c>
      <c r="AA14" t="s">
        <v>107</v>
      </c>
      <c r="AB14" t="s">
        <v>107</v>
      </c>
      <c r="AC14" t="s">
        <v>107</v>
      </c>
      <c r="AD14" t="s">
        <v>107</v>
      </c>
    </row>
    <row r="15" spans="1:30" ht="18" customHeight="1">
      <c r="A15" s="193" t="s">
        <v>1234</v>
      </c>
      <c r="B15" s="194">
        <v>0.23</v>
      </c>
      <c r="C15" s="194">
        <v>1.3</v>
      </c>
      <c r="D15" s="194">
        <v>0.16669999999999999</v>
      </c>
      <c r="E15" s="194">
        <v>0.33329999999999999</v>
      </c>
      <c r="F15" s="194">
        <v>0.5</v>
      </c>
      <c r="G15" s="194">
        <v>0</v>
      </c>
      <c r="H15" s="194">
        <v>0.222</v>
      </c>
      <c r="I15" s="194">
        <v>0.33300000000000002</v>
      </c>
      <c r="J15" s="194">
        <v>0.44400000000000001</v>
      </c>
      <c r="K15" s="194">
        <v>0</v>
      </c>
      <c r="L15" s="194">
        <v>0.95</v>
      </c>
      <c r="M15" s="194">
        <v>1.25</v>
      </c>
      <c r="N15" s="194">
        <v>1.45</v>
      </c>
      <c r="O15" s="195">
        <v>0</v>
      </c>
      <c r="P15" s="195">
        <v>0.08</v>
      </c>
      <c r="Q15" s="195">
        <v>0.35</v>
      </c>
      <c r="R15" s="195">
        <v>1.1000000000000001</v>
      </c>
      <c r="S15" s="195">
        <v>0</v>
      </c>
      <c r="T15" s="180" t="s">
        <v>1226</v>
      </c>
      <c r="U15" s="32">
        <v>70</v>
      </c>
      <c r="X15" t="s">
        <v>107</v>
      </c>
      <c r="Y15" t="s">
        <v>107</v>
      </c>
      <c r="Z15" t="s">
        <v>107</v>
      </c>
      <c r="AA15" t="s">
        <v>107</v>
      </c>
      <c r="AB15" t="s">
        <v>107</v>
      </c>
      <c r="AC15" t="s">
        <v>107</v>
      </c>
      <c r="AD15" t="s">
        <v>107</v>
      </c>
    </row>
    <row r="16" spans="1:30" ht="18" customHeight="1">
      <c r="A16" s="193" t="s">
        <v>1235</v>
      </c>
      <c r="B16" s="194">
        <v>0.23</v>
      </c>
      <c r="C16" s="194">
        <v>1.3</v>
      </c>
      <c r="D16" s="194">
        <v>0.16669999999999999</v>
      </c>
      <c r="E16" s="194">
        <v>0.33329999999999999</v>
      </c>
      <c r="F16" s="194">
        <v>0.5</v>
      </c>
      <c r="G16" s="194">
        <v>0</v>
      </c>
      <c r="H16" s="194">
        <v>0.222</v>
      </c>
      <c r="I16" s="194">
        <v>0.33300000000000002</v>
      </c>
      <c r="J16" s="194">
        <v>0.44400000000000001</v>
      </c>
      <c r="K16" s="194">
        <v>0</v>
      </c>
      <c r="L16" s="194">
        <v>0.95</v>
      </c>
      <c r="M16" s="194">
        <v>1.25</v>
      </c>
      <c r="N16" s="194">
        <v>1.45</v>
      </c>
      <c r="O16" s="195">
        <v>0</v>
      </c>
      <c r="P16" s="195">
        <v>0.08</v>
      </c>
      <c r="Q16" s="195">
        <v>0.35</v>
      </c>
      <c r="R16" s="195">
        <v>1.1000000000000001</v>
      </c>
      <c r="S16" s="195">
        <v>0</v>
      </c>
      <c r="T16" s="180" t="s">
        <v>1226</v>
      </c>
      <c r="U16" s="32">
        <v>70</v>
      </c>
      <c r="X16" t="s">
        <v>107</v>
      </c>
      <c r="Y16" t="s">
        <v>107</v>
      </c>
      <c r="Z16" t="s">
        <v>107</v>
      </c>
      <c r="AA16" t="s">
        <v>107</v>
      </c>
      <c r="AB16" t="s">
        <v>107</v>
      </c>
      <c r="AC16" t="s">
        <v>107</v>
      </c>
      <c r="AD16" t="s">
        <v>107</v>
      </c>
    </row>
    <row r="17" spans="1:30" ht="18" customHeight="1">
      <c r="A17" s="193" t="s">
        <v>1236</v>
      </c>
      <c r="B17" s="194">
        <v>0.2</v>
      </c>
      <c r="C17" s="194">
        <v>1.3</v>
      </c>
      <c r="D17" s="194">
        <v>0.16669999999999999</v>
      </c>
      <c r="E17" s="194">
        <v>0.33329999999999999</v>
      </c>
      <c r="F17" s="194">
        <v>0.5</v>
      </c>
      <c r="G17" s="194">
        <v>0</v>
      </c>
      <c r="H17" s="194">
        <v>0.222</v>
      </c>
      <c r="I17" s="194">
        <v>0.33300000000000002</v>
      </c>
      <c r="J17" s="194">
        <v>0.44400000000000001</v>
      </c>
      <c r="K17" s="194">
        <v>0</v>
      </c>
      <c r="L17" s="194">
        <v>0.95</v>
      </c>
      <c r="M17" s="194">
        <v>1.25</v>
      </c>
      <c r="N17" s="194">
        <v>1.45</v>
      </c>
      <c r="O17" s="195">
        <v>0</v>
      </c>
      <c r="P17" s="195">
        <v>7.0000000000000007E-2</v>
      </c>
      <c r="Q17" s="195">
        <v>0.33</v>
      </c>
      <c r="R17" s="195">
        <v>1.1000000000000001</v>
      </c>
      <c r="S17" s="195">
        <v>0</v>
      </c>
      <c r="T17" s="180" t="s">
        <v>1224</v>
      </c>
      <c r="U17" s="32">
        <v>70</v>
      </c>
      <c r="X17" t="s">
        <v>107</v>
      </c>
      <c r="Y17" t="s">
        <v>107</v>
      </c>
      <c r="Z17" t="s">
        <v>107</v>
      </c>
      <c r="AA17" t="s">
        <v>107</v>
      </c>
      <c r="AB17" t="s">
        <v>107</v>
      </c>
      <c r="AC17" t="s">
        <v>107</v>
      </c>
      <c r="AD17" t="s">
        <v>107</v>
      </c>
    </row>
    <row r="18" spans="1:30" ht="18" customHeight="1">
      <c r="A18" s="193" t="s">
        <v>1237</v>
      </c>
      <c r="B18" s="194">
        <v>0.22</v>
      </c>
      <c r="C18" s="194">
        <v>1.3</v>
      </c>
      <c r="D18" s="194">
        <v>0.16669999999999999</v>
      </c>
      <c r="E18" s="194">
        <v>0.33329999999999999</v>
      </c>
      <c r="F18" s="194">
        <v>0.5</v>
      </c>
      <c r="G18" s="194">
        <v>0</v>
      </c>
      <c r="H18" s="194">
        <v>0.222</v>
      </c>
      <c r="I18" s="194">
        <v>0.33300000000000002</v>
      </c>
      <c r="J18" s="194">
        <v>0.44400000000000001</v>
      </c>
      <c r="K18" s="194">
        <v>0</v>
      </c>
      <c r="L18" s="194">
        <v>0.95</v>
      </c>
      <c r="M18" s="194">
        <v>1.25</v>
      </c>
      <c r="N18" s="194">
        <v>1.45</v>
      </c>
      <c r="O18" s="195">
        <v>0</v>
      </c>
      <c r="P18" s="195">
        <v>7.0000000000000007E-2</v>
      </c>
      <c r="Q18" s="195">
        <v>0.33</v>
      </c>
      <c r="R18" s="195">
        <v>1.1000000000000001</v>
      </c>
      <c r="S18" s="195">
        <v>0</v>
      </c>
      <c r="T18" s="180" t="s">
        <v>1224</v>
      </c>
      <c r="U18" s="32">
        <v>70</v>
      </c>
      <c r="X18" t="s">
        <v>107</v>
      </c>
      <c r="Y18" t="s">
        <v>107</v>
      </c>
      <c r="Z18" t="s">
        <v>107</v>
      </c>
      <c r="AA18" t="s">
        <v>107</v>
      </c>
      <c r="AB18" t="s">
        <v>107</v>
      </c>
      <c r="AC18" t="s">
        <v>107</v>
      </c>
      <c r="AD18" t="s">
        <v>107</v>
      </c>
    </row>
    <row r="19" spans="1:30" ht="18" customHeight="1">
      <c r="A19" s="193" t="s">
        <v>1238</v>
      </c>
      <c r="B19" s="194">
        <v>0.22</v>
      </c>
      <c r="C19" s="194">
        <v>1.3</v>
      </c>
      <c r="D19" s="194">
        <v>0.16669999999999999</v>
      </c>
      <c r="E19" s="194">
        <v>0.33329999999999999</v>
      </c>
      <c r="F19" s="194">
        <v>0.5</v>
      </c>
      <c r="G19" s="194">
        <v>0</v>
      </c>
      <c r="H19" s="194">
        <v>0.222</v>
      </c>
      <c r="I19" s="194">
        <v>0.33300000000000002</v>
      </c>
      <c r="J19" s="194">
        <v>0.44400000000000001</v>
      </c>
      <c r="K19" s="194">
        <v>0</v>
      </c>
      <c r="L19" s="194">
        <v>0.95</v>
      </c>
      <c r="M19" s="194">
        <v>1.25</v>
      </c>
      <c r="N19" s="194">
        <v>1.45</v>
      </c>
      <c r="O19" s="195">
        <v>0</v>
      </c>
      <c r="P19" s="195">
        <v>7.0000000000000007E-2</v>
      </c>
      <c r="Q19" s="195">
        <v>0.33</v>
      </c>
      <c r="R19" s="195">
        <v>1.1000000000000001</v>
      </c>
      <c r="S19" s="195">
        <v>0</v>
      </c>
      <c r="T19" s="180" t="s">
        <v>1224</v>
      </c>
      <c r="U19" s="32">
        <v>70</v>
      </c>
      <c r="X19" t="s">
        <v>107</v>
      </c>
      <c r="Y19" t="s">
        <v>107</v>
      </c>
      <c r="Z19" t="s">
        <v>107</v>
      </c>
      <c r="AA19" t="s">
        <v>107</v>
      </c>
      <c r="AB19" t="s">
        <v>107</v>
      </c>
      <c r="AC19" t="s">
        <v>107</v>
      </c>
      <c r="AD19" t="s">
        <v>107</v>
      </c>
    </row>
    <row r="20" spans="1:30" ht="18" customHeight="1">
      <c r="A20" s="193" t="s">
        <v>1239</v>
      </c>
      <c r="B20" s="194">
        <v>0.2</v>
      </c>
      <c r="C20" s="194">
        <v>1.3</v>
      </c>
      <c r="D20" s="194">
        <v>0.16669999999999999</v>
      </c>
      <c r="E20" s="194">
        <v>0.33329999999999999</v>
      </c>
      <c r="F20" s="194">
        <v>0.5</v>
      </c>
      <c r="G20" s="194">
        <v>0</v>
      </c>
      <c r="H20" s="194">
        <v>0.222</v>
      </c>
      <c r="I20" s="194">
        <v>0.33300000000000002</v>
      </c>
      <c r="J20" s="194">
        <v>0.44400000000000001</v>
      </c>
      <c r="K20" s="194">
        <v>0</v>
      </c>
      <c r="L20" s="194">
        <v>0.95</v>
      </c>
      <c r="M20" s="194">
        <v>1.25</v>
      </c>
      <c r="N20" s="194">
        <v>1.45</v>
      </c>
      <c r="O20" s="195">
        <v>0</v>
      </c>
      <c r="P20" s="195">
        <v>7.0000000000000007E-2</v>
      </c>
      <c r="Q20" s="195">
        <v>0.33</v>
      </c>
      <c r="R20" s="195">
        <v>1.1000000000000001</v>
      </c>
      <c r="S20" s="195">
        <v>0</v>
      </c>
      <c r="T20" s="180" t="s">
        <v>1224</v>
      </c>
      <c r="U20" s="32">
        <v>70</v>
      </c>
      <c r="X20" t="s">
        <v>107</v>
      </c>
      <c r="Y20" t="s">
        <v>107</v>
      </c>
      <c r="Z20" t="s">
        <v>107</v>
      </c>
      <c r="AA20" t="s">
        <v>107</v>
      </c>
      <c r="AB20" t="s">
        <v>107</v>
      </c>
      <c r="AC20" t="s">
        <v>107</v>
      </c>
      <c r="AD20" t="s">
        <v>107</v>
      </c>
    </row>
    <row r="21" spans="1:30" ht="18" customHeight="1">
      <c r="A21" s="193" t="s">
        <v>1240</v>
      </c>
      <c r="B21" s="194">
        <v>0.22</v>
      </c>
      <c r="C21" s="194">
        <v>1.1000000000000001</v>
      </c>
      <c r="D21" s="194">
        <v>0.16669999999999999</v>
      </c>
      <c r="E21" s="194">
        <v>0.33329999999999999</v>
      </c>
      <c r="F21" s="194">
        <v>0.5</v>
      </c>
      <c r="G21" s="194">
        <v>0</v>
      </c>
      <c r="H21" s="194">
        <v>0.222</v>
      </c>
      <c r="I21" s="194">
        <v>0.33300000000000002</v>
      </c>
      <c r="J21" s="194">
        <v>0.44400000000000001</v>
      </c>
      <c r="K21" s="194">
        <v>0</v>
      </c>
      <c r="L21" s="194">
        <v>0.75</v>
      </c>
      <c r="M21" s="194">
        <v>1</v>
      </c>
      <c r="N21" s="194">
        <v>1.25</v>
      </c>
      <c r="O21" s="195">
        <v>0</v>
      </c>
      <c r="P21" s="195">
        <v>7.0000000000000007E-2</v>
      </c>
      <c r="Q21" s="195">
        <v>0.33</v>
      </c>
      <c r="R21" s="195">
        <v>0.9</v>
      </c>
      <c r="S21" s="195">
        <v>0</v>
      </c>
      <c r="T21" s="180" t="s">
        <v>1224</v>
      </c>
      <c r="U21" s="32">
        <v>70</v>
      </c>
      <c r="X21" t="s">
        <v>107</v>
      </c>
      <c r="Y21" t="s">
        <v>107</v>
      </c>
      <c r="Z21" t="s">
        <v>107</v>
      </c>
      <c r="AA21" t="s">
        <v>107</v>
      </c>
      <c r="AB21" t="s">
        <v>107</v>
      </c>
      <c r="AC21" t="s">
        <v>107</v>
      </c>
      <c r="AD21" t="s">
        <v>107</v>
      </c>
    </row>
    <row r="22" spans="1:30" ht="18" customHeight="1">
      <c r="A22" s="193" t="s">
        <v>1241</v>
      </c>
      <c r="B22" s="194">
        <v>0.2</v>
      </c>
      <c r="C22" s="194">
        <v>1.5</v>
      </c>
      <c r="D22" s="194">
        <v>0.16669999999999999</v>
      </c>
      <c r="E22" s="194">
        <v>0.33329999999999999</v>
      </c>
      <c r="F22" s="194">
        <v>0.5</v>
      </c>
      <c r="G22" s="194">
        <v>0</v>
      </c>
      <c r="H22" s="194">
        <v>0.222</v>
      </c>
      <c r="I22" s="194">
        <v>0.33300000000000002</v>
      </c>
      <c r="J22" s="194">
        <v>0.44400000000000001</v>
      </c>
      <c r="K22" s="194">
        <v>0</v>
      </c>
      <c r="L22" s="194">
        <v>1.05</v>
      </c>
      <c r="M22" s="194">
        <v>1.35</v>
      </c>
      <c r="N22" s="194">
        <v>1.6</v>
      </c>
      <c r="O22" s="195">
        <v>0</v>
      </c>
      <c r="P22" s="195">
        <v>7.0000000000000007E-2</v>
      </c>
      <c r="Q22" s="195">
        <v>0.33</v>
      </c>
      <c r="R22" s="195">
        <v>1.2</v>
      </c>
      <c r="S22" s="195">
        <v>0</v>
      </c>
      <c r="T22" s="180" t="s">
        <v>1224</v>
      </c>
      <c r="U22" s="32">
        <v>70</v>
      </c>
      <c r="X22" t="s">
        <v>107</v>
      </c>
      <c r="Y22" t="s">
        <v>107</v>
      </c>
      <c r="Z22" t="s">
        <v>107</v>
      </c>
      <c r="AA22" t="s">
        <v>107</v>
      </c>
      <c r="AB22" t="s">
        <v>107</v>
      </c>
      <c r="AC22" t="s">
        <v>107</v>
      </c>
      <c r="AD22" t="s">
        <v>107</v>
      </c>
    </row>
    <row r="23" spans="1:30" ht="18" customHeight="1">
      <c r="A23" s="193" t="s">
        <v>1242</v>
      </c>
      <c r="B23" s="194">
        <v>0.2</v>
      </c>
      <c r="C23" s="194">
        <v>1.5</v>
      </c>
      <c r="D23" s="194">
        <v>0</v>
      </c>
      <c r="E23" s="194">
        <v>0</v>
      </c>
      <c r="F23" s="194">
        <v>1</v>
      </c>
      <c r="G23" s="194">
        <v>0</v>
      </c>
      <c r="H23" s="194">
        <v>0.21</v>
      </c>
      <c r="I23" s="194">
        <v>0.26</v>
      </c>
      <c r="J23" s="194">
        <v>0.53</v>
      </c>
      <c r="K23" s="194">
        <v>0</v>
      </c>
      <c r="L23" s="194">
        <v>0</v>
      </c>
      <c r="M23" s="194">
        <v>0</v>
      </c>
      <c r="N23" s="194">
        <v>1.5</v>
      </c>
      <c r="O23" s="195">
        <v>0</v>
      </c>
      <c r="P23" s="195">
        <v>0</v>
      </c>
      <c r="Q23" s="195">
        <v>0</v>
      </c>
      <c r="R23" s="195">
        <v>0</v>
      </c>
      <c r="S23" s="195">
        <v>0</v>
      </c>
      <c r="T23" s="180" t="s">
        <v>1224</v>
      </c>
      <c r="U23" s="32">
        <v>70</v>
      </c>
      <c r="X23" t="s">
        <v>107</v>
      </c>
      <c r="Y23" t="s">
        <v>107</v>
      </c>
      <c r="Z23" t="s">
        <v>107</v>
      </c>
      <c r="AA23" t="s">
        <v>107</v>
      </c>
      <c r="AB23" t="s">
        <v>107</v>
      </c>
      <c r="AC23" t="s">
        <v>107</v>
      </c>
      <c r="AD23" t="s">
        <v>107</v>
      </c>
    </row>
    <row r="24" spans="1:30" ht="18" customHeight="1">
      <c r="A24" s="193" t="s">
        <v>1243</v>
      </c>
      <c r="B24" s="194">
        <v>0.25</v>
      </c>
      <c r="C24" s="194">
        <v>1.5</v>
      </c>
      <c r="D24" s="194">
        <v>0</v>
      </c>
      <c r="E24" s="194">
        <v>0</v>
      </c>
      <c r="F24" s="194">
        <v>1</v>
      </c>
      <c r="G24" s="194">
        <v>0</v>
      </c>
      <c r="H24" s="194">
        <v>0.21</v>
      </c>
      <c r="I24" s="194">
        <v>0.26</v>
      </c>
      <c r="J24" s="194">
        <v>0.53</v>
      </c>
      <c r="K24" s="194">
        <v>0</v>
      </c>
      <c r="L24" s="194">
        <v>0</v>
      </c>
      <c r="M24" s="194">
        <v>0</v>
      </c>
      <c r="N24" s="194">
        <v>1.5</v>
      </c>
      <c r="O24" s="195">
        <v>0</v>
      </c>
      <c r="P24" s="195">
        <v>0</v>
      </c>
      <c r="Q24" s="195">
        <v>0</v>
      </c>
      <c r="R24" s="195">
        <v>0</v>
      </c>
      <c r="S24" s="195">
        <v>0</v>
      </c>
      <c r="T24" s="180" t="s">
        <v>1224</v>
      </c>
      <c r="U24" s="32">
        <v>70</v>
      </c>
      <c r="X24" t="s">
        <v>107</v>
      </c>
      <c r="Y24" t="s">
        <v>107</v>
      </c>
      <c r="Z24" t="s">
        <v>107</v>
      </c>
      <c r="AA24" t="s">
        <v>107</v>
      </c>
      <c r="AB24" t="s">
        <v>107</v>
      </c>
      <c r="AC24" t="s">
        <v>107</v>
      </c>
      <c r="AD24" t="s">
        <v>107</v>
      </c>
    </row>
    <row r="25" spans="1:30" ht="18" customHeight="1">
      <c r="A25" s="193" t="s">
        <v>1244</v>
      </c>
      <c r="B25" s="194">
        <v>0.33</v>
      </c>
      <c r="C25" s="194">
        <v>1.5</v>
      </c>
      <c r="D25" s="194">
        <v>0</v>
      </c>
      <c r="E25" s="194">
        <v>0</v>
      </c>
      <c r="F25" s="194">
        <v>1</v>
      </c>
      <c r="G25" s="194">
        <v>0</v>
      </c>
      <c r="H25" s="194">
        <v>0.21</v>
      </c>
      <c r="I25" s="194">
        <v>0.26</v>
      </c>
      <c r="J25" s="194">
        <v>0.53</v>
      </c>
      <c r="K25" s="194">
        <v>0</v>
      </c>
      <c r="L25" s="194">
        <v>0</v>
      </c>
      <c r="M25" s="194">
        <v>0</v>
      </c>
      <c r="N25" s="194">
        <v>1.5</v>
      </c>
      <c r="O25" s="195">
        <v>0</v>
      </c>
      <c r="P25" s="195">
        <v>0</v>
      </c>
      <c r="Q25" s="195">
        <v>0</v>
      </c>
      <c r="R25" s="195">
        <v>0</v>
      </c>
      <c r="S25" s="195">
        <v>0</v>
      </c>
      <c r="T25" s="180" t="s">
        <v>1224</v>
      </c>
      <c r="U25" s="32">
        <v>70</v>
      </c>
      <c r="X25" t="s">
        <v>107</v>
      </c>
      <c r="Y25" t="s">
        <v>107</v>
      </c>
      <c r="Z25" t="s">
        <v>107</v>
      </c>
      <c r="AA25" t="s">
        <v>107</v>
      </c>
      <c r="AB25" t="s">
        <v>107</v>
      </c>
      <c r="AC25" t="s">
        <v>107</v>
      </c>
      <c r="AD25" t="s">
        <v>107</v>
      </c>
    </row>
    <row r="26" spans="1:30" ht="18" customHeight="1">
      <c r="A26" s="193" t="s">
        <v>1245</v>
      </c>
      <c r="B26" s="194">
        <v>0.22</v>
      </c>
      <c r="C26" s="194">
        <v>1.3</v>
      </c>
      <c r="D26" s="194">
        <v>0.16669999999999999</v>
      </c>
      <c r="E26" s="194">
        <v>0.33329999999999999</v>
      </c>
      <c r="F26" s="194">
        <v>0.5</v>
      </c>
      <c r="G26" s="194">
        <v>0</v>
      </c>
      <c r="H26" s="194">
        <v>0.222</v>
      </c>
      <c r="I26" s="194">
        <v>0.33300000000000002</v>
      </c>
      <c r="J26" s="194">
        <v>0.44400000000000001</v>
      </c>
      <c r="K26" s="194">
        <v>0</v>
      </c>
      <c r="L26" s="194">
        <v>0.95</v>
      </c>
      <c r="M26" s="194">
        <v>1.25</v>
      </c>
      <c r="N26" s="194">
        <v>1.45</v>
      </c>
      <c r="O26" s="195">
        <v>0</v>
      </c>
      <c r="P26" s="195">
        <v>7.0000000000000007E-2</v>
      </c>
      <c r="Q26" s="195">
        <v>0.33</v>
      </c>
      <c r="R26" s="195">
        <v>1.1000000000000001</v>
      </c>
      <c r="S26" s="195">
        <v>0</v>
      </c>
      <c r="T26" s="180" t="s">
        <v>1224</v>
      </c>
      <c r="U26" s="32">
        <v>70</v>
      </c>
      <c r="X26" t="s">
        <v>107</v>
      </c>
      <c r="Y26" t="s">
        <v>107</v>
      </c>
      <c r="Z26" t="s">
        <v>107</v>
      </c>
      <c r="AA26" t="s">
        <v>107</v>
      </c>
      <c r="AB26" t="s">
        <v>107</v>
      </c>
      <c r="AC26" t="s">
        <v>107</v>
      </c>
      <c r="AD26" t="s">
        <v>107</v>
      </c>
    </row>
    <row r="27" spans="1:30" ht="18" customHeight="1">
      <c r="A27" s="193" t="s">
        <v>1246</v>
      </c>
      <c r="B27" s="194">
        <v>0.2</v>
      </c>
      <c r="C27" s="194">
        <v>1.5</v>
      </c>
      <c r="D27" s="194">
        <v>0.16669999999999999</v>
      </c>
      <c r="E27" s="194">
        <v>0.33329999999999999</v>
      </c>
      <c r="F27" s="194">
        <v>0.5</v>
      </c>
      <c r="G27" s="194">
        <v>0</v>
      </c>
      <c r="H27" s="194">
        <v>0.222</v>
      </c>
      <c r="I27" s="194">
        <v>0.33300000000000002</v>
      </c>
      <c r="J27" s="194">
        <v>0.44400000000000001</v>
      </c>
      <c r="K27" s="194">
        <v>0</v>
      </c>
      <c r="L27" s="194">
        <v>1.05</v>
      </c>
      <c r="M27" s="194">
        <v>1.35</v>
      </c>
      <c r="N27" s="194">
        <v>1.6</v>
      </c>
      <c r="O27" s="195">
        <v>0</v>
      </c>
      <c r="P27" s="195">
        <v>7.0000000000000007E-2</v>
      </c>
      <c r="Q27" s="195">
        <v>0.33</v>
      </c>
      <c r="R27" s="195">
        <v>1.2</v>
      </c>
      <c r="S27" s="195">
        <v>0</v>
      </c>
      <c r="T27" s="180" t="s">
        <v>1224</v>
      </c>
      <c r="U27" s="32">
        <v>70</v>
      </c>
      <c r="X27" t="s">
        <v>107</v>
      </c>
      <c r="Y27" t="s">
        <v>107</v>
      </c>
      <c r="Z27" t="s">
        <v>107</v>
      </c>
      <c r="AA27" t="s">
        <v>107</v>
      </c>
      <c r="AB27" t="s">
        <v>107</v>
      </c>
      <c r="AC27" t="s">
        <v>107</v>
      </c>
      <c r="AD27" t="s">
        <v>107</v>
      </c>
    </row>
    <row r="28" spans="1:30" ht="18" customHeight="1">
      <c r="A28" s="193" t="s">
        <v>769</v>
      </c>
      <c r="B28" s="194">
        <v>0.2</v>
      </c>
      <c r="C28" s="194">
        <v>1.3</v>
      </c>
      <c r="D28" s="194">
        <v>0</v>
      </c>
      <c r="E28" s="194">
        <v>0</v>
      </c>
      <c r="F28" s="194">
        <v>1</v>
      </c>
      <c r="G28" s="194">
        <v>0</v>
      </c>
      <c r="H28" s="194">
        <v>0.21</v>
      </c>
      <c r="I28" s="194">
        <v>0.26</v>
      </c>
      <c r="J28" s="194">
        <v>0.53</v>
      </c>
      <c r="K28" s="194">
        <v>0</v>
      </c>
      <c r="L28" s="194">
        <v>0</v>
      </c>
      <c r="M28" s="194">
        <v>0</v>
      </c>
      <c r="N28" s="194">
        <v>1.3</v>
      </c>
      <c r="O28" s="195">
        <v>0</v>
      </c>
      <c r="P28" s="195">
        <v>0</v>
      </c>
      <c r="Q28" s="195">
        <v>0</v>
      </c>
      <c r="R28" s="195">
        <v>0</v>
      </c>
      <c r="S28" s="195">
        <v>0</v>
      </c>
      <c r="T28" s="180" t="s">
        <v>1224</v>
      </c>
      <c r="U28" s="32">
        <v>70</v>
      </c>
      <c r="X28" t="s">
        <v>107</v>
      </c>
      <c r="Y28" t="s">
        <v>107</v>
      </c>
      <c r="Z28" t="s">
        <v>107</v>
      </c>
      <c r="AA28" t="s">
        <v>107</v>
      </c>
      <c r="AB28" t="s">
        <v>107</v>
      </c>
      <c r="AC28" t="s">
        <v>107</v>
      </c>
      <c r="AD28" t="s">
        <v>107</v>
      </c>
    </row>
    <row r="29" spans="1:30" ht="18" customHeight="1">
      <c r="A29" s="193" t="s">
        <v>1247</v>
      </c>
      <c r="B29" s="194">
        <v>0.22</v>
      </c>
      <c r="C29" s="194">
        <v>1.3</v>
      </c>
      <c r="D29" s="194">
        <v>0.16669999999999999</v>
      </c>
      <c r="E29" s="194">
        <v>0.33329999999999999</v>
      </c>
      <c r="F29" s="194">
        <v>0.5</v>
      </c>
      <c r="G29" s="194">
        <v>0</v>
      </c>
      <c r="H29" s="194">
        <v>0.222</v>
      </c>
      <c r="I29" s="194">
        <v>0.33300000000000002</v>
      </c>
      <c r="J29" s="194">
        <v>0.44400000000000001</v>
      </c>
      <c r="K29" s="194">
        <v>0</v>
      </c>
      <c r="L29" s="194">
        <v>0.95</v>
      </c>
      <c r="M29" s="194">
        <v>1.25</v>
      </c>
      <c r="N29" s="194">
        <v>1.45</v>
      </c>
      <c r="O29" s="195">
        <v>0</v>
      </c>
      <c r="P29" s="195">
        <v>7.0000000000000007E-2</v>
      </c>
      <c r="Q29" s="195">
        <v>0.33</v>
      </c>
      <c r="R29" s="195">
        <v>1.1000000000000001</v>
      </c>
      <c r="S29" s="195">
        <v>0</v>
      </c>
      <c r="T29" s="180" t="s">
        <v>1224</v>
      </c>
      <c r="U29" s="32">
        <v>70</v>
      </c>
      <c r="X29" t="s">
        <v>107</v>
      </c>
      <c r="Y29" t="s">
        <v>107</v>
      </c>
      <c r="Z29" t="s">
        <v>107</v>
      </c>
      <c r="AA29" t="s">
        <v>107</v>
      </c>
      <c r="AB29" t="s">
        <v>107</v>
      </c>
      <c r="AC29" t="s">
        <v>107</v>
      </c>
      <c r="AD29" t="s">
        <v>107</v>
      </c>
    </row>
    <row r="30" spans="1:30" ht="18" customHeight="1">
      <c r="A30" s="196" t="s">
        <v>1248</v>
      </c>
      <c r="B30" s="197">
        <v>0.33</v>
      </c>
      <c r="C30" s="197">
        <v>1.25</v>
      </c>
      <c r="D30" s="197">
        <v>0</v>
      </c>
      <c r="E30" s="197">
        <v>0</v>
      </c>
      <c r="F30" s="197">
        <v>1</v>
      </c>
      <c r="G30" s="197">
        <v>0</v>
      </c>
      <c r="H30" s="197">
        <v>0.21</v>
      </c>
      <c r="I30" s="197">
        <v>0.26</v>
      </c>
      <c r="J30" s="197">
        <v>0.53</v>
      </c>
      <c r="K30" s="197">
        <v>0</v>
      </c>
      <c r="L30" s="197">
        <v>0</v>
      </c>
      <c r="M30" s="197">
        <v>0</v>
      </c>
      <c r="N30" s="197">
        <v>1.25</v>
      </c>
      <c r="O30" s="198">
        <v>0</v>
      </c>
      <c r="P30" s="198">
        <v>0.1</v>
      </c>
      <c r="Q30" s="198">
        <v>0.4</v>
      </c>
      <c r="R30" s="198">
        <v>1</v>
      </c>
      <c r="S30" s="198">
        <v>0.4</v>
      </c>
      <c r="T30" s="180" t="s">
        <v>1224</v>
      </c>
      <c r="U30" s="32">
        <v>70</v>
      </c>
      <c r="X30" t="s">
        <v>107</v>
      </c>
      <c r="Y30" t="s">
        <v>107</v>
      </c>
      <c r="Z30" t="s">
        <v>107</v>
      </c>
      <c r="AA30" t="s">
        <v>107</v>
      </c>
      <c r="AB30" t="s">
        <v>107</v>
      </c>
      <c r="AC30" t="s">
        <v>107</v>
      </c>
      <c r="AD30" t="s">
        <v>107</v>
      </c>
    </row>
    <row r="31" spans="1:30" ht="18" customHeight="1">
      <c r="A31" s="196" t="s">
        <v>1249</v>
      </c>
      <c r="B31" s="197">
        <v>0.33</v>
      </c>
      <c r="C31" s="197">
        <v>1.25</v>
      </c>
      <c r="D31" s="197">
        <v>0.16669999999999999</v>
      </c>
      <c r="E31" s="197">
        <v>0.33329999999999999</v>
      </c>
      <c r="F31" s="197">
        <v>0.5</v>
      </c>
      <c r="G31" s="197">
        <v>0</v>
      </c>
      <c r="H31" s="197">
        <v>0.21</v>
      </c>
      <c r="I31" s="197">
        <v>0.26</v>
      </c>
      <c r="J31" s="197">
        <v>0.53</v>
      </c>
      <c r="K31" s="197">
        <v>0</v>
      </c>
      <c r="L31" s="197">
        <v>0.95</v>
      </c>
      <c r="M31" s="197">
        <v>1.25</v>
      </c>
      <c r="N31" s="197">
        <v>1.45</v>
      </c>
      <c r="O31" s="198">
        <v>0</v>
      </c>
      <c r="P31" s="198">
        <v>0.08</v>
      </c>
      <c r="Q31" s="198">
        <v>0.35</v>
      </c>
      <c r="R31" s="198">
        <v>1.1000000000000001</v>
      </c>
      <c r="S31" s="198">
        <v>0.4</v>
      </c>
      <c r="T31" s="180" t="s">
        <v>1224</v>
      </c>
      <c r="U31" s="32">
        <v>70</v>
      </c>
      <c r="X31" t="s">
        <v>107</v>
      </c>
      <c r="Y31" t="s">
        <v>107</v>
      </c>
      <c r="Z31" t="s">
        <v>107</v>
      </c>
      <c r="AA31" t="s">
        <v>107</v>
      </c>
      <c r="AB31" t="s">
        <v>107</v>
      </c>
      <c r="AC31" t="s">
        <v>107</v>
      </c>
      <c r="AD31" t="s">
        <v>107</v>
      </c>
    </row>
    <row r="32" spans="1:30" ht="18" customHeight="1">
      <c r="A32" s="196" t="s">
        <v>1250</v>
      </c>
      <c r="B32" s="197">
        <v>0.23</v>
      </c>
      <c r="C32" s="197">
        <v>1.2</v>
      </c>
      <c r="D32" s="197">
        <v>0.16669999999999999</v>
      </c>
      <c r="E32" s="197">
        <v>0.33329999999999999</v>
      </c>
      <c r="F32" s="197">
        <v>0.5</v>
      </c>
      <c r="G32" s="197">
        <v>0</v>
      </c>
      <c r="H32" s="197">
        <v>0.21</v>
      </c>
      <c r="I32" s="197">
        <v>0.26</v>
      </c>
      <c r="J32" s="197">
        <v>0.53</v>
      </c>
      <c r="K32" s="197">
        <v>0</v>
      </c>
      <c r="L32" s="197">
        <v>0.95</v>
      </c>
      <c r="M32" s="197">
        <v>1.25</v>
      </c>
      <c r="N32" s="197">
        <v>1.45</v>
      </c>
      <c r="O32" s="198">
        <v>0</v>
      </c>
      <c r="P32" s="198">
        <v>7.0000000000000007E-2</v>
      </c>
      <c r="Q32" s="198">
        <v>0.33</v>
      </c>
      <c r="R32" s="198">
        <v>1.1000000000000001</v>
      </c>
      <c r="S32" s="198">
        <v>0.2</v>
      </c>
      <c r="T32" s="180" t="s">
        <v>1224</v>
      </c>
      <c r="U32" s="32">
        <v>70</v>
      </c>
      <c r="X32" t="s">
        <v>107</v>
      </c>
      <c r="Y32" t="s">
        <v>107</v>
      </c>
      <c r="Z32" t="s">
        <v>107</v>
      </c>
      <c r="AA32" t="s">
        <v>107</v>
      </c>
      <c r="AB32" t="s">
        <v>107</v>
      </c>
      <c r="AC32" t="s">
        <v>107</v>
      </c>
      <c r="AD32" t="s">
        <v>107</v>
      </c>
    </row>
    <row r="33" spans="1:30" ht="18" customHeight="1">
      <c r="A33" s="196" t="s">
        <v>1251</v>
      </c>
      <c r="B33" s="197">
        <v>0.22</v>
      </c>
      <c r="C33" s="197">
        <v>1.35</v>
      </c>
      <c r="D33" s="197">
        <v>0.16669999999999999</v>
      </c>
      <c r="E33" s="197">
        <v>0.33329999999999999</v>
      </c>
      <c r="F33" s="197">
        <v>0.5</v>
      </c>
      <c r="G33" s="197">
        <v>0</v>
      </c>
      <c r="H33" s="197">
        <v>0.21</v>
      </c>
      <c r="I33" s="197">
        <v>0.26</v>
      </c>
      <c r="J33" s="197">
        <v>0.53</v>
      </c>
      <c r="K33" s="197">
        <v>0</v>
      </c>
      <c r="L33" s="197">
        <v>1.05</v>
      </c>
      <c r="M33" s="197">
        <v>1.35</v>
      </c>
      <c r="N33" s="197">
        <v>1.6</v>
      </c>
      <c r="O33" s="198">
        <v>0</v>
      </c>
      <c r="P33" s="198">
        <v>7.0000000000000007E-2</v>
      </c>
      <c r="Q33" s="198">
        <v>0.33</v>
      </c>
      <c r="R33" s="198">
        <v>1.1499999999999999</v>
      </c>
      <c r="S33" s="198">
        <v>0</v>
      </c>
      <c r="T33" s="180" t="s">
        <v>1226</v>
      </c>
      <c r="U33" s="32">
        <v>55</v>
      </c>
      <c r="X33" t="s">
        <v>107</v>
      </c>
      <c r="Y33" t="s">
        <v>107</v>
      </c>
      <c r="Z33" t="s">
        <v>107</v>
      </c>
      <c r="AA33" t="s">
        <v>107</v>
      </c>
      <c r="AB33" t="s">
        <v>107</v>
      </c>
      <c r="AC33" t="s">
        <v>107</v>
      </c>
      <c r="AD33" t="s">
        <v>107</v>
      </c>
    </row>
    <row r="34" spans="1:30" ht="18" customHeight="1">
      <c r="A34" s="196" t="s">
        <v>1252</v>
      </c>
      <c r="B34" s="197">
        <v>0.22</v>
      </c>
      <c r="C34" s="197">
        <v>1.25</v>
      </c>
      <c r="D34" s="197">
        <v>0.16669999999999999</v>
      </c>
      <c r="E34" s="197">
        <v>0.33329999999999999</v>
      </c>
      <c r="F34" s="197">
        <v>0.5</v>
      </c>
      <c r="G34" s="197">
        <v>0</v>
      </c>
      <c r="H34" s="197">
        <v>0.21</v>
      </c>
      <c r="I34" s="197">
        <v>0.26</v>
      </c>
      <c r="J34" s="197">
        <v>0.53</v>
      </c>
      <c r="K34" s="197">
        <v>0</v>
      </c>
      <c r="L34" s="197">
        <v>0.92</v>
      </c>
      <c r="M34" s="197">
        <v>1.2</v>
      </c>
      <c r="N34" s="197">
        <v>1.4</v>
      </c>
      <c r="O34" s="198">
        <v>0</v>
      </c>
      <c r="P34" s="198">
        <v>7.0000000000000007E-2</v>
      </c>
      <c r="Q34" s="198">
        <v>0.33</v>
      </c>
      <c r="R34" s="198">
        <v>1.05</v>
      </c>
      <c r="S34" s="198">
        <v>0</v>
      </c>
      <c r="T34" s="180" t="s">
        <v>1225</v>
      </c>
      <c r="U34" s="32">
        <v>70</v>
      </c>
      <c r="X34" t="s">
        <v>107</v>
      </c>
      <c r="Y34" t="s">
        <v>107</v>
      </c>
      <c r="Z34" t="s">
        <v>107</v>
      </c>
      <c r="AA34" t="s">
        <v>107</v>
      </c>
      <c r="AB34" t="s">
        <v>107</v>
      </c>
      <c r="AC34" t="s">
        <v>107</v>
      </c>
      <c r="AD34" t="s">
        <v>107</v>
      </c>
    </row>
    <row r="35" spans="1:30" ht="18" customHeight="1">
      <c r="A35" s="196" t="s">
        <v>1253</v>
      </c>
      <c r="B35" s="197">
        <v>0.23</v>
      </c>
      <c r="C35" s="197">
        <v>1.3</v>
      </c>
      <c r="D35" s="197">
        <v>0.16669999999999999</v>
      </c>
      <c r="E35" s="197">
        <v>0.33329999999999999</v>
      </c>
      <c r="F35" s="197">
        <v>0.5</v>
      </c>
      <c r="G35" s="197">
        <v>0</v>
      </c>
      <c r="H35" s="197">
        <v>0.21</v>
      </c>
      <c r="I35" s="197">
        <v>0.26</v>
      </c>
      <c r="J35" s="197">
        <v>0.53</v>
      </c>
      <c r="K35" s="197">
        <v>0</v>
      </c>
      <c r="L35" s="197">
        <v>0.95</v>
      </c>
      <c r="M35" s="197">
        <v>1.25</v>
      </c>
      <c r="N35" s="197">
        <v>1.45</v>
      </c>
      <c r="O35" s="198">
        <v>0</v>
      </c>
      <c r="P35" s="198">
        <v>0.08</v>
      </c>
      <c r="Q35" s="198">
        <v>0.35</v>
      </c>
      <c r="R35" s="198">
        <v>1.1000000000000001</v>
      </c>
      <c r="S35" s="198">
        <v>0</v>
      </c>
      <c r="T35" s="180" t="s">
        <v>1226</v>
      </c>
      <c r="U35" s="32">
        <v>70</v>
      </c>
      <c r="X35" t="s">
        <v>107</v>
      </c>
      <c r="Y35" t="s">
        <v>107</v>
      </c>
      <c r="Z35" t="s">
        <v>107</v>
      </c>
      <c r="AA35" t="s">
        <v>107</v>
      </c>
      <c r="AB35" t="s">
        <v>107</v>
      </c>
      <c r="AC35" t="s">
        <v>107</v>
      </c>
      <c r="AD35" t="s">
        <v>107</v>
      </c>
    </row>
    <row r="36" spans="1:30" ht="18" customHeight="1">
      <c r="A36" s="199" t="s">
        <v>1254</v>
      </c>
      <c r="B36" s="200">
        <v>0.4</v>
      </c>
      <c r="C36" s="200">
        <v>1.4</v>
      </c>
      <c r="D36" s="200">
        <v>0.16669999999999999</v>
      </c>
      <c r="E36" s="200">
        <v>0.33329999999999999</v>
      </c>
      <c r="F36" s="200">
        <v>0.5</v>
      </c>
      <c r="G36" s="200">
        <v>0</v>
      </c>
      <c r="H36" s="200">
        <v>0.21</v>
      </c>
      <c r="I36" s="200">
        <v>0.26</v>
      </c>
      <c r="J36" s="200">
        <v>0.53</v>
      </c>
      <c r="K36" s="200">
        <v>0</v>
      </c>
      <c r="L36" s="200">
        <v>1.05</v>
      </c>
      <c r="M36" s="200">
        <v>1.35</v>
      </c>
      <c r="N36" s="200">
        <v>1.6</v>
      </c>
      <c r="O36" s="201">
        <v>0</v>
      </c>
      <c r="P36" s="201">
        <v>0.08</v>
      </c>
      <c r="Q36" s="201">
        <v>0.45</v>
      </c>
      <c r="R36" s="201">
        <v>1.2</v>
      </c>
      <c r="S36" s="201">
        <v>0</v>
      </c>
      <c r="T36" s="180" t="s">
        <v>1224</v>
      </c>
      <c r="U36" s="32">
        <v>70</v>
      </c>
      <c r="X36" t="s">
        <v>107</v>
      </c>
      <c r="Y36" t="s">
        <v>107</v>
      </c>
      <c r="Z36" t="s">
        <v>107</v>
      </c>
      <c r="AA36" t="s">
        <v>107</v>
      </c>
      <c r="AB36" t="s">
        <v>107</v>
      </c>
      <c r="AC36" t="s">
        <v>107</v>
      </c>
      <c r="AD36" t="s">
        <v>107</v>
      </c>
    </row>
    <row r="37" spans="1:30" ht="18" customHeight="1">
      <c r="A37" s="199" t="s">
        <v>1255</v>
      </c>
      <c r="B37" s="200">
        <v>1</v>
      </c>
      <c r="C37" s="200">
        <v>1.4</v>
      </c>
      <c r="D37" s="200">
        <v>0.16669999999999999</v>
      </c>
      <c r="E37" s="200">
        <v>0.33329999999999999</v>
      </c>
      <c r="F37" s="200">
        <v>0.5</v>
      </c>
      <c r="G37" s="200">
        <v>0</v>
      </c>
      <c r="H37" s="200">
        <v>0.21</v>
      </c>
      <c r="I37" s="200">
        <v>0.26</v>
      </c>
      <c r="J37" s="200">
        <v>0.53</v>
      </c>
      <c r="K37" s="200">
        <v>0</v>
      </c>
      <c r="L37" s="200">
        <v>1.05</v>
      </c>
      <c r="M37" s="200">
        <v>1.35</v>
      </c>
      <c r="N37" s="200">
        <v>1.6</v>
      </c>
      <c r="O37" s="201">
        <v>0</v>
      </c>
      <c r="P37" s="201">
        <v>0.08</v>
      </c>
      <c r="Q37" s="201">
        <v>1</v>
      </c>
      <c r="R37" s="201">
        <v>1.2</v>
      </c>
      <c r="S37" s="201">
        <v>0</v>
      </c>
      <c r="T37" s="180" t="s">
        <v>1224</v>
      </c>
      <c r="U37" s="32">
        <v>70</v>
      </c>
      <c r="X37" t="s">
        <v>107</v>
      </c>
      <c r="Y37" t="s">
        <v>107</v>
      </c>
      <c r="Z37" t="s">
        <v>107</v>
      </c>
      <c r="AA37" t="s">
        <v>107</v>
      </c>
      <c r="AB37" t="s">
        <v>107</v>
      </c>
      <c r="AC37" t="s">
        <v>107</v>
      </c>
      <c r="AD37" t="s">
        <v>107</v>
      </c>
    </row>
    <row r="38" spans="1:30" ht="18" customHeight="1">
      <c r="A38" s="196" t="s">
        <v>1256</v>
      </c>
      <c r="B38" s="197">
        <v>9.6000000000000002E-2</v>
      </c>
      <c r="C38" s="197">
        <v>1.27</v>
      </c>
      <c r="D38" s="197">
        <v>0</v>
      </c>
      <c r="E38" s="197">
        <v>0</v>
      </c>
      <c r="F38" s="197">
        <v>1</v>
      </c>
      <c r="G38" s="197">
        <v>0</v>
      </c>
      <c r="H38" s="197">
        <v>0.21</v>
      </c>
      <c r="I38" s="197">
        <v>0.26</v>
      </c>
      <c r="J38" s="197">
        <v>0.53</v>
      </c>
      <c r="K38" s="197">
        <v>0</v>
      </c>
      <c r="L38" s="197">
        <v>0</v>
      </c>
      <c r="M38" s="197">
        <v>0</v>
      </c>
      <c r="N38" s="197">
        <v>1.27</v>
      </c>
      <c r="O38" s="198">
        <v>0</v>
      </c>
      <c r="P38" s="198">
        <v>8.6999999999999994E-2</v>
      </c>
      <c r="Q38" s="198">
        <v>0</v>
      </c>
      <c r="R38" s="198">
        <v>0</v>
      </c>
      <c r="S38" s="198">
        <v>0</v>
      </c>
      <c r="T38" s="180" t="s">
        <v>1224</v>
      </c>
      <c r="U38" s="32">
        <v>70</v>
      </c>
      <c r="X38" t="s">
        <v>107</v>
      </c>
      <c r="Y38" t="s">
        <v>107</v>
      </c>
      <c r="Z38" t="s">
        <v>107</v>
      </c>
      <c r="AA38" t="s">
        <v>107</v>
      </c>
      <c r="AB38" t="s">
        <v>107</v>
      </c>
      <c r="AC38" t="s">
        <v>107</v>
      </c>
      <c r="AD38" t="s">
        <v>107</v>
      </c>
    </row>
    <row r="39" spans="1:30" ht="18" customHeight="1">
      <c r="A39" s="196" t="s">
        <v>1257</v>
      </c>
      <c r="B39" s="197">
        <v>9.5000000000000001E-2</v>
      </c>
      <c r="C39" s="197">
        <v>1.49</v>
      </c>
      <c r="D39" s="197">
        <v>0</v>
      </c>
      <c r="E39" s="197">
        <v>0</v>
      </c>
      <c r="F39" s="197">
        <v>1</v>
      </c>
      <c r="G39" s="197">
        <v>0</v>
      </c>
      <c r="H39" s="197">
        <v>0.21</v>
      </c>
      <c r="I39" s="197">
        <v>0.26</v>
      </c>
      <c r="J39" s="197">
        <v>0.53</v>
      </c>
      <c r="K39" s="197">
        <v>0</v>
      </c>
      <c r="L39" s="197">
        <v>0</v>
      </c>
      <c r="M39" s="197">
        <v>0</v>
      </c>
      <c r="N39" s="197">
        <v>1.49</v>
      </c>
      <c r="O39" s="198">
        <v>0</v>
      </c>
      <c r="P39" s="198">
        <v>0.09</v>
      </c>
      <c r="Q39" s="198">
        <v>0</v>
      </c>
      <c r="R39" s="198">
        <v>0</v>
      </c>
      <c r="S39" s="198">
        <v>0</v>
      </c>
      <c r="T39" s="180" t="s">
        <v>1224</v>
      </c>
      <c r="U39" s="32">
        <v>70</v>
      </c>
      <c r="X39" t="s">
        <v>107</v>
      </c>
      <c r="Y39" t="s">
        <v>107</v>
      </c>
      <c r="Z39" t="s">
        <v>107</v>
      </c>
      <c r="AA39" t="s">
        <v>107</v>
      </c>
      <c r="AB39" t="s">
        <v>107</v>
      </c>
      <c r="AC39" t="s">
        <v>107</v>
      </c>
      <c r="AD39" t="s">
        <v>107</v>
      </c>
    </row>
    <row r="40" spans="1:30" ht="18" customHeight="1">
      <c r="A40" s="196" t="s">
        <v>1258</v>
      </c>
      <c r="B40" s="197">
        <v>0.1</v>
      </c>
      <c r="C40" s="197">
        <v>1.28</v>
      </c>
      <c r="D40" s="197">
        <v>0</v>
      </c>
      <c r="E40" s="197">
        <v>0</v>
      </c>
      <c r="F40" s="197">
        <v>1</v>
      </c>
      <c r="G40" s="197">
        <v>0</v>
      </c>
      <c r="H40" s="197">
        <v>0.21</v>
      </c>
      <c r="I40" s="197">
        <v>0.26</v>
      </c>
      <c r="J40" s="197">
        <v>0.53</v>
      </c>
      <c r="K40" s="197">
        <v>0</v>
      </c>
      <c r="L40" s="197">
        <v>0</v>
      </c>
      <c r="M40" s="197">
        <v>0</v>
      </c>
      <c r="N40" s="197">
        <v>1.28</v>
      </c>
      <c r="O40" s="198">
        <v>0</v>
      </c>
      <c r="P40" s="198">
        <v>7.4999999999999997E-2</v>
      </c>
      <c r="Q40" s="198">
        <v>0</v>
      </c>
      <c r="R40" s="198">
        <v>0</v>
      </c>
      <c r="S40" s="198">
        <v>0</v>
      </c>
      <c r="T40" s="180" t="s">
        <v>1224</v>
      </c>
      <c r="U40" s="32">
        <v>70</v>
      </c>
      <c r="X40" t="s">
        <v>107</v>
      </c>
      <c r="Y40" t="s">
        <v>107</v>
      </c>
      <c r="Z40" t="s">
        <v>107</v>
      </c>
      <c r="AA40" t="s">
        <v>107</v>
      </c>
      <c r="AB40" t="s">
        <v>107</v>
      </c>
      <c r="AC40" t="s">
        <v>107</v>
      </c>
      <c r="AD40" t="s">
        <v>107</v>
      </c>
    </row>
    <row r="41" spans="1:30" ht="18" customHeight="1">
      <c r="A41" s="154" t="s">
        <v>1259</v>
      </c>
      <c r="B41" s="155">
        <v>0.22</v>
      </c>
      <c r="C41" s="155">
        <v>1.3</v>
      </c>
      <c r="D41" s="155">
        <v>0.15</v>
      </c>
      <c r="E41" s="155">
        <v>0.3</v>
      </c>
      <c r="F41" s="155">
        <v>0.45</v>
      </c>
      <c r="G41" s="155">
        <v>0.1</v>
      </c>
      <c r="H41" s="155">
        <v>0.2</v>
      </c>
      <c r="I41" s="155">
        <v>0.3</v>
      </c>
      <c r="J41" s="155">
        <v>0.4</v>
      </c>
      <c r="K41" s="155">
        <v>0.1</v>
      </c>
      <c r="L41" s="155">
        <v>0.15</v>
      </c>
      <c r="M41" s="155">
        <v>0.3</v>
      </c>
      <c r="N41" s="155">
        <v>0.45</v>
      </c>
      <c r="O41" s="180">
        <v>0.1</v>
      </c>
      <c r="P41" s="180">
        <v>7.0000000000000007E-2</v>
      </c>
      <c r="Q41" s="180">
        <v>0.3</v>
      </c>
      <c r="R41" s="180">
        <v>1.2</v>
      </c>
      <c r="S41" s="180">
        <v>0</v>
      </c>
      <c r="T41" s="180"/>
      <c r="U41" s="32"/>
    </row>
    <row r="42" spans="1:30" ht="18" customHeight="1">
      <c r="A42" s="154" t="s">
        <v>1260</v>
      </c>
      <c r="B42" s="155">
        <v>0.22</v>
      </c>
      <c r="C42" s="155">
        <v>1.3</v>
      </c>
      <c r="D42" s="155">
        <v>0.14000000000000001</v>
      </c>
      <c r="E42" s="155">
        <v>0.28000000000000003</v>
      </c>
      <c r="F42" s="155">
        <v>0.43</v>
      </c>
      <c r="G42" s="155">
        <v>0.15</v>
      </c>
      <c r="H42" s="155">
        <v>0.2</v>
      </c>
      <c r="I42" s="155">
        <v>0.3</v>
      </c>
      <c r="J42" s="155">
        <v>0.4</v>
      </c>
      <c r="K42" s="155">
        <v>0.1</v>
      </c>
      <c r="L42" s="155">
        <v>0.14000000000000001</v>
      </c>
      <c r="M42" s="155">
        <v>0.28000000000000003</v>
      </c>
      <c r="N42" s="155">
        <v>0.43</v>
      </c>
      <c r="O42" s="180">
        <v>0.15</v>
      </c>
      <c r="P42" s="180">
        <v>7.0000000000000007E-2</v>
      </c>
      <c r="Q42" s="180">
        <v>0.3</v>
      </c>
      <c r="R42" s="180">
        <v>1.2</v>
      </c>
      <c r="S42" s="180">
        <v>0</v>
      </c>
      <c r="T42" s="180"/>
      <c r="U42" s="32"/>
    </row>
    <row r="43" spans="1:30" ht="18" customHeight="1">
      <c r="A43" s="154" t="s">
        <v>1261</v>
      </c>
      <c r="B43" s="155">
        <v>0.35</v>
      </c>
      <c r="C43" s="155">
        <v>1.2</v>
      </c>
      <c r="D43" s="155">
        <v>0.15</v>
      </c>
      <c r="E43" s="155">
        <v>0.28000000000000003</v>
      </c>
      <c r="F43" s="155">
        <v>0.45</v>
      </c>
      <c r="G43" s="155">
        <v>0.12</v>
      </c>
      <c r="H43" s="155">
        <v>0.2</v>
      </c>
      <c r="I43" s="155">
        <v>0.28000000000000003</v>
      </c>
      <c r="J43" s="155">
        <v>0.4</v>
      </c>
      <c r="K43" s="155">
        <v>0.12</v>
      </c>
      <c r="L43" s="155">
        <v>0.15</v>
      </c>
      <c r="M43" s="155">
        <v>0.28000000000000003</v>
      </c>
      <c r="N43" s="155">
        <v>0.45</v>
      </c>
      <c r="O43" s="180">
        <v>0.12</v>
      </c>
      <c r="P43" s="180">
        <v>0.08</v>
      </c>
      <c r="Q43" s="180">
        <v>0.4</v>
      </c>
      <c r="R43" s="180">
        <v>1.3</v>
      </c>
      <c r="S43" s="180">
        <v>0.4</v>
      </c>
      <c r="T43" s="180"/>
      <c r="U43" s="32"/>
    </row>
    <row r="44" spans="1:30" ht="18" customHeight="1">
      <c r="A44" s="154"/>
      <c r="B44" s="155"/>
      <c r="C44" s="155"/>
      <c r="D44" s="155"/>
      <c r="E44" s="155"/>
      <c r="F44" s="155"/>
      <c r="G44" s="155"/>
      <c r="H44" s="155"/>
      <c r="I44" s="155"/>
      <c r="J44" s="155"/>
      <c r="K44" s="155"/>
      <c r="L44" s="155"/>
      <c r="M44" s="155"/>
      <c r="N44" s="155"/>
      <c r="O44" s="180"/>
      <c r="P44" s="180"/>
      <c r="Q44" s="180"/>
      <c r="R44" s="180"/>
      <c r="S44" s="180"/>
      <c r="T44" s="180"/>
      <c r="U44" s="32"/>
    </row>
    <row r="45" spans="1:30" ht="18" customHeight="1"/>
  </sheetData>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zoomScale="120" workbookViewId="0"/>
  </sheetViews>
  <sheetFormatPr baseColWidth="10" defaultColWidth="8.83203125" defaultRowHeight="15"/>
  <cols>
    <col min="1" max="1" width="32" customWidth="1"/>
    <col min="2" max="2" width="14" customWidth="1"/>
    <col min="3" max="3" width="42" customWidth="1"/>
    <col min="4" max="4" width="50" customWidth="1"/>
  </cols>
  <sheetData>
    <row r="1" spans="1:4" ht="21.75" customHeight="1">
      <c r="A1" s="189" t="s">
        <v>1262</v>
      </c>
      <c r="B1" s="189" t="s">
        <v>875</v>
      </c>
      <c r="C1" s="189" t="s">
        <v>207</v>
      </c>
      <c r="D1" s="189" t="s">
        <v>1263</v>
      </c>
    </row>
    <row r="2" spans="1:4" ht="18" customHeight="1">
      <c r="A2" s="51" t="s">
        <v>1264</v>
      </c>
      <c r="B2" s="187">
        <v>0.95</v>
      </c>
      <c r="C2" s="202" t="s">
        <v>1265</v>
      </c>
      <c r="D2" s="202" t="s">
        <v>1266</v>
      </c>
    </row>
    <row r="3" spans="1:4" ht="18" customHeight="1">
      <c r="A3" s="191" t="s">
        <v>1267</v>
      </c>
      <c r="B3" s="192">
        <v>0.63</v>
      </c>
      <c r="C3" s="203" t="s">
        <v>1191</v>
      </c>
      <c r="D3" s="203" t="s">
        <v>1268</v>
      </c>
    </row>
    <row r="4" spans="1:4" ht="18" customHeight="1">
      <c r="A4" s="51" t="s">
        <v>1269</v>
      </c>
      <c r="B4" s="187">
        <v>1.3</v>
      </c>
      <c r="C4" s="202" t="s">
        <v>1270</v>
      </c>
      <c r="D4" s="202" t="s">
        <v>1271</v>
      </c>
    </row>
    <row r="5" spans="1:4" ht="18" customHeight="1">
      <c r="A5" s="191" t="s">
        <v>1272</v>
      </c>
      <c r="B5" s="192">
        <v>30</v>
      </c>
      <c r="C5" s="203" t="s">
        <v>1273</v>
      </c>
      <c r="D5" s="203" t="s">
        <v>1274</v>
      </c>
    </row>
    <row r="6" spans="1:4" ht="18" customHeight="1">
      <c r="A6" s="51" t="s">
        <v>1275</v>
      </c>
      <c r="B6" s="187">
        <v>0.42</v>
      </c>
      <c r="C6" s="204"/>
      <c r="D6" s="202" t="s">
        <v>1276</v>
      </c>
    </row>
    <row r="7" spans="1:4" ht="18" customHeight="1">
      <c r="A7" s="191" t="s">
        <v>1277</v>
      </c>
      <c r="B7" s="192">
        <v>0.3</v>
      </c>
      <c r="C7" s="204"/>
      <c r="D7" s="203" t="s">
        <v>1278</v>
      </c>
    </row>
    <row r="8" spans="1:4" ht="18" customHeight="1">
      <c r="A8" s="51" t="s">
        <v>1279</v>
      </c>
      <c r="B8" s="187">
        <v>1.5</v>
      </c>
      <c r="C8" s="202" t="s">
        <v>1280</v>
      </c>
      <c r="D8" s="202" t="s">
        <v>1281</v>
      </c>
    </row>
    <row r="9" spans="1:4" ht="18" customHeight="1">
      <c r="A9" s="191" t="s">
        <v>1282</v>
      </c>
      <c r="B9" s="192">
        <v>6</v>
      </c>
      <c r="C9" s="204"/>
      <c r="D9" s="203" t="s">
        <v>1283</v>
      </c>
    </row>
    <row r="10" spans="1:4" ht="18" customHeight="1">
      <c r="A10" s="51" t="s">
        <v>1284</v>
      </c>
      <c r="B10" s="187">
        <v>10</v>
      </c>
      <c r="C10" s="204"/>
      <c r="D10" s="202" t="s">
        <v>1285</v>
      </c>
    </row>
    <row r="11" spans="1:4" ht="18" customHeight="1">
      <c r="A11" s="191" t="s">
        <v>883</v>
      </c>
      <c r="B11" s="192">
        <v>10000000000</v>
      </c>
      <c r="C11" s="204"/>
      <c r="D11" s="203" t="s">
        <v>1286</v>
      </c>
    </row>
    <row r="12" spans="1:4" ht="18" customHeight="1">
      <c r="A12" s="51" t="s">
        <v>886</v>
      </c>
      <c r="B12" s="187">
        <v>100000000</v>
      </c>
      <c r="C12" s="204"/>
      <c r="D12" s="202" t="s">
        <v>1287</v>
      </c>
    </row>
    <row r="13" spans="1:4" ht="18" customHeight="1">
      <c r="A13" s="191" t="s">
        <v>1288</v>
      </c>
      <c r="B13" s="192">
        <v>100</v>
      </c>
      <c r="C13" s="204"/>
      <c r="D13" s="203" t="s">
        <v>1289</v>
      </c>
    </row>
    <row r="14" spans="1:4" ht="18" customHeight="1">
      <c r="A14" s="51" t="s">
        <v>1290</v>
      </c>
      <c r="B14" s="187">
        <v>7.0000000000000007E-2</v>
      </c>
      <c r="C14" s="202" t="s">
        <v>1291</v>
      </c>
      <c r="D14" s="202" t="s">
        <v>1292</v>
      </c>
    </row>
    <row r="15" spans="1:4" ht="18" customHeight="1">
      <c r="A15" s="191" t="s">
        <v>1293</v>
      </c>
      <c r="B15" s="192">
        <v>0.7</v>
      </c>
      <c r="C15" s="203" t="s">
        <v>1294</v>
      </c>
      <c r="D15" s="203" t="s">
        <v>1295</v>
      </c>
    </row>
    <row r="16" spans="1:4" ht="15" customHeight="1">
      <c r="A16" t="s">
        <v>1296</v>
      </c>
      <c r="B16">
        <v>0.16</v>
      </c>
      <c r="C16" t="s">
        <v>1297</v>
      </c>
    </row>
    <row r="17" spans="1:2" ht="15" customHeight="1">
      <c r="A17" t="s">
        <v>1298</v>
      </c>
      <c r="B17">
        <v>1.8</v>
      </c>
    </row>
    <row r="18" spans="1:2" ht="15" customHeight="1">
      <c r="A18" t="s">
        <v>1299</v>
      </c>
      <c r="B18">
        <v>18.2</v>
      </c>
    </row>
  </sheetData>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zoomScale="120" workbookViewId="0"/>
  </sheetViews>
  <sheetFormatPr baseColWidth="10" defaultColWidth="8.83203125" defaultRowHeight="15"/>
  <cols>
    <col min="1" max="1" width="50" customWidth="1"/>
    <col min="2" max="2" width="42" customWidth="1"/>
    <col min="3" max="3" width="17" customWidth="1"/>
    <col min="4" max="4" width="16" customWidth="1"/>
    <col min="5" max="5" width="17" customWidth="1"/>
    <col min="6" max="6" width="12" customWidth="1"/>
    <col min="7" max="7" width="16" customWidth="1"/>
    <col min="8" max="8" width="20" customWidth="1"/>
    <col min="9" max="9" width="8" customWidth="1"/>
    <col min="10" max="10" width="43" customWidth="1"/>
  </cols>
  <sheetData>
    <row r="1" spans="1:11" ht="21.75" customHeight="1">
      <c r="A1" s="189" t="s">
        <v>1300</v>
      </c>
      <c r="B1" s="189" t="s">
        <v>1301</v>
      </c>
      <c r="C1" s="189" t="s">
        <v>1302</v>
      </c>
      <c r="D1" s="189" t="s">
        <v>1303</v>
      </c>
      <c r="E1" s="189" t="s">
        <v>1304</v>
      </c>
      <c r="F1" s="189" t="s">
        <v>1305</v>
      </c>
      <c r="G1" s="189" t="s">
        <v>1306</v>
      </c>
      <c r="H1" s="189" t="s">
        <v>1307</v>
      </c>
      <c r="I1" s="189" t="s">
        <v>1308</v>
      </c>
      <c r="J1" s="189" t="s">
        <v>207</v>
      </c>
    </row>
    <row r="2" spans="1:11" ht="18" customHeight="1">
      <c r="A2" s="51" t="s">
        <v>1233</v>
      </c>
      <c r="B2" s="190" t="s">
        <v>1309</v>
      </c>
      <c r="C2" s="187">
        <v>0.06</v>
      </c>
      <c r="D2" s="187">
        <v>0.33</v>
      </c>
      <c r="E2" s="187">
        <v>1.2</v>
      </c>
      <c r="F2" s="205">
        <v>0</v>
      </c>
      <c r="G2" s="205">
        <v>1</v>
      </c>
      <c r="H2" s="190" t="s">
        <v>1310</v>
      </c>
      <c r="I2" s="190" t="s">
        <v>1311</v>
      </c>
      <c r="J2" s="190" t="s">
        <v>1312</v>
      </c>
      <c r="K2">
        <v>10</v>
      </c>
    </row>
    <row r="3" spans="1:11" ht="18" customHeight="1">
      <c r="A3" s="191" t="s">
        <v>1234</v>
      </c>
      <c r="B3" s="206" t="s">
        <v>1313</v>
      </c>
      <c r="C3" s="192">
        <v>7.0000000000000007E-2</v>
      </c>
      <c r="D3" s="192">
        <v>0.31</v>
      </c>
      <c r="E3" s="192">
        <v>1.08</v>
      </c>
      <c r="F3" s="207">
        <v>0</v>
      </c>
      <c r="G3" s="207">
        <v>1</v>
      </c>
      <c r="H3" s="206" t="s">
        <v>1314</v>
      </c>
      <c r="I3" s="206" t="s">
        <v>1315</v>
      </c>
      <c r="J3" s="206" t="s">
        <v>1316</v>
      </c>
      <c r="K3">
        <v>7</v>
      </c>
    </row>
    <row r="4" spans="1:11" ht="18" customHeight="1">
      <c r="A4" s="51" t="s">
        <v>1235</v>
      </c>
      <c r="B4" s="190" t="s">
        <v>1317</v>
      </c>
      <c r="C4" s="187">
        <v>7.0000000000000007E-2</v>
      </c>
      <c r="D4" s="187">
        <v>0.31</v>
      </c>
      <c r="E4" s="187">
        <v>1.08</v>
      </c>
      <c r="F4" s="205">
        <v>0</v>
      </c>
      <c r="G4" s="205">
        <v>1</v>
      </c>
      <c r="H4" s="190" t="s">
        <v>1314</v>
      </c>
      <c r="I4" s="190" t="s">
        <v>1315</v>
      </c>
      <c r="J4" s="190" t="s">
        <v>1318</v>
      </c>
      <c r="K4">
        <v>7</v>
      </c>
    </row>
    <row r="5" spans="1:11" ht="18" customHeight="1">
      <c r="A5" s="191" t="s">
        <v>1319</v>
      </c>
      <c r="B5" s="206" t="s">
        <v>1320</v>
      </c>
      <c r="C5" s="192">
        <v>7.0000000000000007E-2</v>
      </c>
      <c r="D5" s="192">
        <v>0.4</v>
      </c>
      <c r="E5" s="192">
        <v>1.3</v>
      </c>
      <c r="F5" s="192">
        <v>0.7</v>
      </c>
      <c r="G5" s="192">
        <v>0.3</v>
      </c>
      <c r="H5" s="206" t="s">
        <v>1321</v>
      </c>
      <c r="I5" s="206" t="s">
        <v>1322</v>
      </c>
      <c r="J5" s="206" t="s">
        <v>1323</v>
      </c>
      <c r="K5">
        <v>8</v>
      </c>
    </row>
    <row r="6" spans="1:11" ht="18" customHeight="1">
      <c r="A6" s="51" t="s">
        <v>1324</v>
      </c>
      <c r="B6" s="190" t="s">
        <v>1325</v>
      </c>
      <c r="C6" s="187">
        <v>0.06</v>
      </c>
      <c r="D6" s="187">
        <v>0.45</v>
      </c>
      <c r="E6" s="187">
        <v>1.4</v>
      </c>
      <c r="F6" s="205">
        <v>0</v>
      </c>
      <c r="G6" s="205">
        <v>1</v>
      </c>
      <c r="H6" s="190" t="s">
        <v>1326</v>
      </c>
      <c r="I6" s="190" t="s">
        <v>1322</v>
      </c>
      <c r="J6" s="190" t="s">
        <v>1327</v>
      </c>
      <c r="K6">
        <v>6</v>
      </c>
    </row>
    <row r="7" spans="1:11" ht="18" customHeight="1">
      <c r="A7" s="191" t="s">
        <v>1328</v>
      </c>
      <c r="B7" s="206" t="s">
        <v>1329</v>
      </c>
      <c r="C7" s="192">
        <v>0.06</v>
      </c>
      <c r="D7" s="192">
        <v>0.35</v>
      </c>
      <c r="E7" s="192">
        <v>1.2</v>
      </c>
      <c r="F7" s="207">
        <v>0</v>
      </c>
      <c r="G7" s="207">
        <v>1</v>
      </c>
      <c r="H7" s="206" t="s">
        <v>1330</v>
      </c>
      <c r="I7" s="206" t="s">
        <v>1311</v>
      </c>
      <c r="J7" s="206" t="s">
        <v>1331</v>
      </c>
      <c r="K7">
        <v>9</v>
      </c>
    </row>
    <row r="8" spans="1:11" ht="18" customHeight="1">
      <c r="A8" s="51" t="s">
        <v>1332</v>
      </c>
      <c r="B8" s="190" t="s">
        <v>1333</v>
      </c>
      <c r="C8" s="187">
        <v>7.0000000000000007E-2</v>
      </c>
      <c r="D8" s="187">
        <v>0.33</v>
      </c>
      <c r="E8" s="187">
        <v>1.1499999999999999</v>
      </c>
      <c r="F8" s="205">
        <v>0</v>
      </c>
      <c r="G8" s="205">
        <v>1</v>
      </c>
      <c r="H8" s="190" t="s">
        <v>1314</v>
      </c>
      <c r="I8" s="190" t="s">
        <v>1334</v>
      </c>
      <c r="J8" s="190" t="s">
        <v>1335</v>
      </c>
      <c r="K8">
        <v>7</v>
      </c>
    </row>
    <row r="9" spans="1:11" ht="18" customHeight="1">
      <c r="A9" s="191" t="s">
        <v>1336</v>
      </c>
      <c r="B9" s="206" t="s">
        <v>1337</v>
      </c>
      <c r="C9" s="192">
        <v>0.06</v>
      </c>
      <c r="D9" s="192">
        <v>0.33</v>
      </c>
      <c r="E9" s="192">
        <v>1.2</v>
      </c>
      <c r="F9" s="207">
        <v>0</v>
      </c>
      <c r="G9" s="207">
        <v>1</v>
      </c>
      <c r="H9" s="206" t="s">
        <v>1338</v>
      </c>
      <c r="I9" s="206" t="s">
        <v>1339</v>
      </c>
      <c r="J9" s="206" t="s">
        <v>1340</v>
      </c>
      <c r="K9">
        <v>10</v>
      </c>
    </row>
    <row r="10" spans="1:11" ht="18" customHeight="1">
      <c r="A10" s="51" t="s">
        <v>1341</v>
      </c>
      <c r="B10" s="190" t="s">
        <v>1342</v>
      </c>
      <c r="C10" s="187">
        <v>8.6999999999999994E-2</v>
      </c>
      <c r="D10" s="187">
        <v>0.31</v>
      </c>
      <c r="E10" s="187">
        <v>1.08</v>
      </c>
      <c r="F10" s="190">
        <v>0</v>
      </c>
      <c r="G10" s="190">
        <v>1</v>
      </c>
      <c r="H10" s="190" t="s">
        <v>1314</v>
      </c>
      <c r="I10" s="190" t="s">
        <v>1343</v>
      </c>
      <c r="J10" s="190" t="s">
        <v>1344</v>
      </c>
      <c r="K10">
        <v>7</v>
      </c>
    </row>
    <row r="11" spans="1:11" ht="18" customHeight="1">
      <c r="A11" s="191" t="s">
        <v>1345</v>
      </c>
      <c r="B11" s="206" t="s">
        <v>1346</v>
      </c>
      <c r="C11" s="192">
        <v>9.9000000000000005E-2</v>
      </c>
      <c r="D11" s="192">
        <v>0.33</v>
      </c>
      <c r="E11" s="192">
        <v>1.1000000000000001</v>
      </c>
      <c r="F11" s="206">
        <v>0</v>
      </c>
      <c r="G11" s="206">
        <v>1</v>
      </c>
      <c r="H11" s="206" t="s">
        <v>1314</v>
      </c>
      <c r="I11" s="206" t="s">
        <v>1343</v>
      </c>
      <c r="J11" s="206" t="s">
        <v>1347</v>
      </c>
      <c r="K11">
        <v>7</v>
      </c>
    </row>
    <row r="12" spans="1:11" ht="18" customHeight="1">
      <c r="A12" s="51" t="s">
        <v>1348</v>
      </c>
      <c r="B12" s="190"/>
      <c r="C12" s="32"/>
      <c r="D12" s="32"/>
      <c r="E12" s="32"/>
      <c r="F12" s="32"/>
      <c r="G12" s="32"/>
      <c r="H12" s="32"/>
      <c r="I12" s="32"/>
      <c r="J12" s="32"/>
    </row>
    <row r="13" spans="1:11" ht="18" customHeight="1">
      <c r="A13" s="191" t="s">
        <v>1349</v>
      </c>
      <c r="B13" s="206"/>
      <c r="C13" s="32"/>
      <c r="D13" s="32"/>
      <c r="E13" s="32"/>
      <c r="F13" s="32"/>
      <c r="G13" s="32"/>
      <c r="H13" s="32"/>
      <c r="I13" s="32"/>
      <c r="J13" s="32"/>
    </row>
    <row r="14" spans="1:11" ht="18" customHeight="1">
      <c r="A14" s="51" t="s">
        <v>1350</v>
      </c>
      <c r="B14" s="190"/>
      <c r="C14" s="32"/>
      <c r="D14" s="32"/>
      <c r="E14" s="32"/>
      <c r="F14" s="32"/>
      <c r="G14" s="32"/>
      <c r="H14" s="32"/>
      <c r="I14" s="32"/>
      <c r="J14" s="32"/>
    </row>
    <row r="15" spans="1:11" ht="18" customHeight="1">
      <c r="A15" s="191" t="s">
        <v>1351</v>
      </c>
      <c r="B15" s="206"/>
      <c r="C15" s="32"/>
      <c r="D15" s="32"/>
      <c r="E15" s="32"/>
      <c r="F15" s="32"/>
      <c r="G15" s="32"/>
      <c r="H15" s="32"/>
      <c r="I15" s="32"/>
      <c r="J15" s="32"/>
    </row>
    <row r="16" spans="1:11" ht="18" customHeight="1">
      <c r="A16" s="51" t="s">
        <v>1352</v>
      </c>
      <c r="B16" s="190"/>
      <c r="C16" s="32"/>
      <c r="D16" s="32"/>
      <c r="E16" s="32"/>
      <c r="F16" s="32"/>
      <c r="G16" s="32"/>
      <c r="H16" s="32"/>
      <c r="I16" s="32"/>
      <c r="J16" s="32"/>
    </row>
    <row r="17" spans="1:11" ht="18" customHeight="1">
      <c r="A17" s="191" t="s">
        <v>1353</v>
      </c>
      <c r="B17" s="206"/>
      <c r="C17" s="32"/>
      <c r="D17" s="32"/>
      <c r="E17" s="32"/>
      <c r="F17" s="32"/>
      <c r="G17" s="32"/>
      <c r="H17" s="32"/>
      <c r="I17" s="32"/>
      <c r="J17" s="32"/>
    </row>
    <row r="18" spans="1:11" ht="15" customHeight="1">
      <c r="A18" t="s">
        <v>1354</v>
      </c>
      <c r="B18" t="s">
        <v>1355</v>
      </c>
      <c r="C18">
        <v>7.0000000000000007E-2</v>
      </c>
      <c r="D18">
        <v>0.33</v>
      </c>
      <c r="E18">
        <v>1.1000000000000001</v>
      </c>
      <c r="F18">
        <v>0.2</v>
      </c>
      <c r="G18">
        <v>0.8</v>
      </c>
      <c r="H18" t="s">
        <v>1356</v>
      </c>
      <c r="I18">
        <v>14</v>
      </c>
      <c r="J18" t="s">
        <v>1357</v>
      </c>
      <c r="K18">
        <v>8</v>
      </c>
    </row>
    <row r="19" spans="1:11" ht="15" customHeight="1">
      <c r="A19" t="s">
        <v>1358</v>
      </c>
      <c r="B19" t="s">
        <v>1359</v>
      </c>
      <c r="C19">
        <v>7.0000000000000007E-2</v>
      </c>
      <c r="D19">
        <v>0.33</v>
      </c>
      <c r="E19">
        <v>1.1000000000000001</v>
      </c>
      <c r="F19">
        <v>0</v>
      </c>
      <c r="G19">
        <v>1</v>
      </c>
      <c r="H19" t="s">
        <v>1356</v>
      </c>
      <c r="I19">
        <v>100</v>
      </c>
      <c r="J19" t="s">
        <v>1360</v>
      </c>
      <c r="K19">
        <v>6</v>
      </c>
    </row>
    <row r="20" spans="1:11" ht="15" customHeight="1">
      <c r="A20" t="s">
        <v>1328</v>
      </c>
      <c r="B20" t="s">
        <v>1329</v>
      </c>
      <c r="C20">
        <v>0.06</v>
      </c>
      <c r="D20">
        <v>0.35</v>
      </c>
      <c r="E20">
        <v>1.2</v>
      </c>
      <c r="G20">
        <v>1</v>
      </c>
      <c r="H20" t="s">
        <v>1330</v>
      </c>
      <c r="I20" t="s">
        <v>1361</v>
      </c>
    </row>
    <row r="21" spans="1:11" ht="15" customHeight="1">
      <c r="A21" t="s">
        <v>1362</v>
      </c>
      <c r="B21" t="s">
        <v>1363</v>
      </c>
      <c r="C21">
        <v>0</v>
      </c>
      <c r="D21">
        <v>0.2</v>
      </c>
      <c r="E21">
        <v>1.3</v>
      </c>
      <c r="G21">
        <v>1</v>
      </c>
      <c r="H21" t="s">
        <v>1364</v>
      </c>
      <c r="I21" t="s">
        <v>1311</v>
      </c>
    </row>
    <row r="22" spans="1:11" ht="15" customHeight="1">
      <c r="A22" t="s">
        <v>1365</v>
      </c>
      <c r="B22" t="s">
        <v>1366</v>
      </c>
      <c r="C22">
        <v>0</v>
      </c>
      <c r="D22">
        <v>0.2</v>
      </c>
      <c r="E22">
        <v>1.3</v>
      </c>
      <c r="G22">
        <v>1</v>
      </c>
      <c r="H22" t="s">
        <v>1364</v>
      </c>
      <c r="I22" t="s">
        <v>1367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C48"/>
  <sheetViews>
    <sheetView zoomScale="120" workbookViewId="0"/>
  </sheetViews>
  <sheetFormatPr baseColWidth="10" defaultColWidth="8.83203125" defaultRowHeight="15"/>
  <cols>
    <col min="1" max="1" width="32" customWidth="1"/>
    <col min="2" max="2" width="26" customWidth="1"/>
    <col min="3" max="3" width="8" customWidth="1"/>
    <col min="4" max="4" width="15" customWidth="1"/>
    <col min="5" max="5" width="34" customWidth="1"/>
    <col min="6" max="6" width="16" customWidth="1"/>
    <col min="7" max="7" width="17" customWidth="1"/>
    <col min="8" max="8" width="19" customWidth="1"/>
    <col min="9" max="9" width="23" customWidth="1"/>
    <col min="10" max="10" width="15" customWidth="1"/>
    <col min="12" max="12" width="8" customWidth="1"/>
    <col min="13" max="13" width="19" customWidth="1"/>
    <col min="14" max="14" width="24" customWidth="1"/>
  </cols>
  <sheetData>
    <row r="1" spans="1:159" ht="21.75" customHeight="1">
      <c r="A1" s="189" t="s">
        <v>1368</v>
      </c>
      <c r="B1" s="189" t="s">
        <v>1369</v>
      </c>
      <c r="C1" s="184" t="s">
        <v>1370</v>
      </c>
      <c r="D1" s="189" t="s">
        <v>1371</v>
      </c>
      <c r="E1" s="189" t="s">
        <v>1372</v>
      </c>
      <c r="F1" s="189" t="s">
        <v>1373</v>
      </c>
      <c r="G1" s="189" t="s">
        <v>1374</v>
      </c>
      <c r="H1" s="189" t="s">
        <v>1375</v>
      </c>
      <c r="I1" s="189" t="s">
        <v>1376</v>
      </c>
      <c r="J1" s="189" t="s">
        <v>1377</v>
      </c>
      <c r="K1" s="189" t="s">
        <v>1378</v>
      </c>
      <c r="L1" s="189" t="s">
        <v>1379</v>
      </c>
      <c r="M1" s="189" t="s">
        <v>1380</v>
      </c>
      <c r="N1" s="208" t="s">
        <v>1376</v>
      </c>
      <c r="P1" s="24" t="s">
        <v>1381</v>
      </c>
      <c r="Q1" s="24" t="s">
        <v>1382</v>
      </c>
      <c r="R1" s="24" t="s">
        <v>1383</v>
      </c>
      <c r="S1" s="24" t="s">
        <v>1384</v>
      </c>
      <c r="T1" s="24" t="s">
        <v>1385</v>
      </c>
      <c r="U1" s="24" t="s">
        <v>1386</v>
      </c>
      <c r="V1" t="s">
        <v>1370</v>
      </c>
      <c r="W1" t="s">
        <v>1387</v>
      </c>
      <c r="X1" t="s">
        <v>1388</v>
      </c>
      <c r="AA1" t="s">
        <v>1389</v>
      </c>
      <c r="AB1" t="s">
        <v>1390</v>
      </c>
      <c r="AC1" t="s">
        <v>1391</v>
      </c>
      <c r="AD1" s="209" t="s">
        <v>1392</v>
      </c>
      <c r="AE1" s="209" t="s">
        <v>1393</v>
      </c>
      <c r="AF1" s="209" t="s">
        <v>1394</v>
      </c>
      <c r="AG1" s="209" t="s">
        <v>1395</v>
      </c>
      <c r="AH1" s="209" t="s">
        <v>1396</v>
      </c>
      <c r="AI1" s="209" t="s">
        <v>1397</v>
      </c>
      <c r="AJ1" s="209" t="s">
        <v>1398</v>
      </c>
      <c r="AN1" t="s">
        <v>1399</v>
      </c>
      <c r="AO1" t="s">
        <v>1400</v>
      </c>
      <c r="AP1" t="s">
        <v>1401</v>
      </c>
      <c r="AQ1" t="s">
        <v>1402</v>
      </c>
      <c r="AR1" t="s">
        <v>1403</v>
      </c>
      <c r="AS1" t="s">
        <v>1404</v>
      </c>
      <c r="AT1" t="s">
        <v>1405</v>
      </c>
      <c r="AU1" t="s">
        <v>1406</v>
      </c>
      <c r="AV1" t="s">
        <v>1407</v>
      </c>
      <c r="AW1" t="s">
        <v>1408</v>
      </c>
      <c r="AX1" t="s">
        <v>1409</v>
      </c>
      <c r="AY1" t="s">
        <v>1410</v>
      </c>
      <c r="AZ1" t="s">
        <v>1411</v>
      </c>
      <c r="BA1" t="s">
        <v>1412</v>
      </c>
      <c r="BB1" t="s">
        <v>1413</v>
      </c>
      <c r="BD1" t="s">
        <v>1414</v>
      </c>
      <c r="BE1" t="s">
        <v>1415</v>
      </c>
      <c r="BF1" t="s">
        <v>1416</v>
      </c>
      <c r="BG1" t="s">
        <v>1417</v>
      </c>
      <c r="BH1" t="s">
        <v>1418</v>
      </c>
      <c r="BI1" t="s">
        <v>1419</v>
      </c>
      <c r="BJ1" t="s">
        <v>1414</v>
      </c>
      <c r="BK1" t="s">
        <v>1420</v>
      </c>
      <c r="BL1" t="s">
        <v>1421</v>
      </c>
      <c r="BM1" t="s">
        <v>1422</v>
      </c>
      <c r="BN1" t="s">
        <v>1423</v>
      </c>
      <c r="BO1" t="s">
        <v>1424</v>
      </c>
      <c r="BP1" t="s">
        <v>1414</v>
      </c>
      <c r="BQ1" t="s">
        <v>1425</v>
      </c>
      <c r="BR1" t="s">
        <v>1426</v>
      </c>
      <c r="BS1" t="s">
        <v>1427</v>
      </c>
      <c r="BT1" t="s">
        <v>1428</v>
      </c>
      <c r="BU1" t="s">
        <v>1429</v>
      </c>
      <c r="BV1" t="s">
        <v>1414</v>
      </c>
      <c r="BW1" t="s">
        <v>1430</v>
      </c>
      <c r="BX1" t="s">
        <v>1431</v>
      </c>
      <c r="BY1" t="s">
        <v>1432</v>
      </c>
      <c r="BZ1" t="s">
        <v>1433</v>
      </c>
      <c r="CA1" t="s">
        <v>1434</v>
      </c>
      <c r="CB1" t="s">
        <v>1435</v>
      </c>
      <c r="CC1" t="s">
        <v>1436</v>
      </c>
      <c r="CD1" t="s">
        <v>1437</v>
      </c>
      <c r="CE1" t="s">
        <v>1438</v>
      </c>
      <c r="CF1" t="s">
        <v>1439</v>
      </c>
      <c r="CG1" t="s">
        <v>1440</v>
      </c>
      <c r="CH1" t="s">
        <v>1441</v>
      </c>
      <c r="CI1" t="s">
        <v>1442</v>
      </c>
      <c r="CJ1" t="s">
        <v>203</v>
      </c>
      <c r="CK1" t="s">
        <v>257</v>
      </c>
      <c r="CL1" t="s">
        <v>258</v>
      </c>
      <c r="CM1" t="s">
        <v>176</v>
      </c>
      <c r="CN1" t="s">
        <v>181</v>
      </c>
      <c r="CO1" t="s">
        <v>203</v>
      </c>
      <c r="CP1" t="s">
        <v>257</v>
      </c>
      <c r="CQ1" t="s">
        <v>258</v>
      </c>
      <c r="CR1" t="s">
        <v>176</v>
      </c>
      <c r="CS1" t="s">
        <v>181</v>
      </c>
      <c r="CT1" t="s">
        <v>203</v>
      </c>
      <c r="CU1" t="s">
        <v>257</v>
      </c>
      <c r="CV1" t="s">
        <v>258</v>
      </c>
      <c r="CW1" t="s">
        <v>176</v>
      </c>
      <c r="CX1" t="s">
        <v>181</v>
      </c>
      <c r="CY1" t="s">
        <v>203</v>
      </c>
      <c r="CZ1" t="s">
        <v>257</v>
      </c>
      <c r="DA1" t="s">
        <v>258</v>
      </c>
      <c r="DB1" t="s">
        <v>176</v>
      </c>
      <c r="DC1" t="s">
        <v>181</v>
      </c>
      <c r="DD1" t="s">
        <v>1443</v>
      </c>
      <c r="DE1" t="s">
        <v>1436</v>
      </c>
      <c r="DF1" t="s">
        <v>1437</v>
      </c>
      <c r="DG1" t="s">
        <v>1438</v>
      </c>
      <c r="DH1" t="s">
        <v>1444</v>
      </c>
      <c r="DI1" t="s">
        <v>1439</v>
      </c>
      <c r="DJ1" t="s">
        <v>203</v>
      </c>
      <c r="DK1" t="s">
        <v>257</v>
      </c>
      <c r="DL1" t="s">
        <v>258</v>
      </c>
      <c r="DM1" t="s">
        <v>176</v>
      </c>
      <c r="DN1" t="s">
        <v>181</v>
      </c>
      <c r="DO1" t="s">
        <v>203</v>
      </c>
      <c r="DP1" t="s">
        <v>257</v>
      </c>
      <c r="DQ1" t="s">
        <v>258</v>
      </c>
      <c r="DR1" t="s">
        <v>176</v>
      </c>
      <c r="DS1" t="s">
        <v>181</v>
      </c>
      <c r="DT1" t="s">
        <v>203</v>
      </c>
      <c r="DU1" t="s">
        <v>257</v>
      </c>
      <c r="DV1" t="s">
        <v>258</v>
      </c>
      <c r="DW1" t="s">
        <v>176</v>
      </c>
      <c r="DX1" t="s">
        <v>181</v>
      </c>
      <c r="EA1" t="s">
        <v>1445</v>
      </c>
      <c r="EB1" t="s">
        <v>1436</v>
      </c>
      <c r="EC1" t="s">
        <v>1446</v>
      </c>
      <c r="ED1" t="s">
        <v>1438</v>
      </c>
      <c r="EE1" t="s">
        <v>1447</v>
      </c>
      <c r="EF1" t="s">
        <v>1439</v>
      </c>
      <c r="EG1" t="s">
        <v>203</v>
      </c>
      <c r="EH1" t="s">
        <v>257</v>
      </c>
      <c r="EI1" t="s">
        <v>258</v>
      </c>
      <c r="EJ1" t="s">
        <v>284</v>
      </c>
      <c r="EK1" t="s">
        <v>181</v>
      </c>
      <c r="EM1" t="s">
        <v>203</v>
      </c>
      <c r="EN1" t="s">
        <v>257</v>
      </c>
      <c r="EO1" t="s">
        <v>258</v>
      </c>
      <c r="EP1" t="s">
        <v>284</v>
      </c>
      <c r="EQ1" t="s">
        <v>181</v>
      </c>
      <c r="ES1" t="s">
        <v>203</v>
      </c>
      <c r="ET1" t="s">
        <v>257</v>
      </c>
      <c r="EU1" t="s">
        <v>258</v>
      </c>
      <c r="EV1" t="s">
        <v>284</v>
      </c>
      <c r="EW1" t="s">
        <v>181</v>
      </c>
      <c r="EX1" t="s">
        <v>1448</v>
      </c>
      <c r="EY1" t="s">
        <v>203</v>
      </c>
      <c r="EZ1" t="s">
        <v>257</v>
      </c>
      <c r="FA1" t="s">
        <v>258</v>
      </c>
      <c r="FB1" t="s">
        <v>284</v>
      </c>
      <c r="FC1" t="s">
        <v>181</v>
      </c>
    </row>
    <row r="2" spans="1:159" ht="18" customHeight="1">
      <c r="A2" t="s">
        <v>17</v>
      </c>
      <c r="B2" t="s">
        <v>919</v>
      </c>
      <c r="F2" t="s">
        <v>919</v>
      </c>
      <c r="G2" t="s">
        <v>919</v>
      </c>
      <c r="H2">
        <v>0</v>
      </c>
      <c r="I2" t="s">
        <v>919</v>
      </c>
      <c r="M2" t="s">
        <v>919</v>
      </c>
      <c r="P2" t="s">
        <v>919</v>
      </c>
      <c r="V2" t="s">
        <v>919</v>
      </c>
      <c r="W2">
        <v>0</v>
      </c>
      <c r="AA2" t="s">
        <v>919</v>
      </c>
      <c r="AD2" t="s">
        <v>919</v>
      </c>
      <c r="AE2" t="s">
        <v>919</v>
      </c>
      <c r="AF2" t="s">
        <v>919</v>
      </c>
      <c r="AG2" t="s">
        <v>919</v>
      </c>
      <c r="AH2" t="s">
        <v>919</v>
      </c>
      <c r="AI2" t="s">
        <v>919</v>
      </c>
      <c r="AJ2" t="s">
        <v>919</v>
      </c>
      <c r="BD2">
        <v>1</v>
      </c>
      <c r="BE2" t="s">
        <v>1449</v>
      </c>
      <c r="BF2">
        <v>-24</v>
      </c>
      <c r="BG2" t="s">
        <v>1450</v>
      </c>
      <c r="BH2" t="s">
        <v>1451</v>
      </c>
      <c r="BJ2">
        <v>1</v>
      </c>
      <c r="BK2" t="s">
        <v>1449</v>
      </c>
      <c r="BL2">
        <v>-24</v>
      </c>
      <c r="BM2" t="s">
        <v>1450</v>
      </c>
      <c r="BN2" t="s">
        <v>1451</v>
      </c>
      <c r="BP2">
        <v>1</v>
      </c>
      <c r="BQ2" t="s">
        <v>1449</v>
      </c>
      <c r="BR2">
        <v>-24</v>
      </c>
      <c r="BS2" t="s">
        <v>1450</v>
      </c>
      <c r="BT2" t="s">
        <v>1451</v>
      </c>
      <c r="BV2">
        <v>1</v>
      </c>
      <c r="BW2" t="s">
        <v>1449</v>
      </c>
      <c r="BX2">
        <v>-24</v>
      </c>
      <c r="BY2" t="s">
        <v>1450</v>
      </c>
      <c r="BZ2" t="s">
        <v>1451</v>
      </c>
      <c r="CB2" t="s">
        <v>919</v>
      </c>
      <c r="CH2" t="s">
        <v>919</v>
      </c>
      <c r="CJ2" t="s">
        <v>1452</v>
      </c>
      <c r="CK2" t="s">
        <v>1453</v>
      </c>
      <c r="CL2" t="s">
        <v>1454</v>
      </c>
      <c r="CM2" t="s">
        <v>1455</v>
      </c>
      <c r="CN2" t="s">
        <v>1456</v>
      </c>
      <c r="CO2" t="s">
        <v>1457</v>
      </c>
      <c r="CP2" t="s">
        <v>1453</v>
      </c>
      <c r="CQ2" t="s">
        <v>1458</v>
      </c>
      <c r="CR2" t="s">
        <v>1455</v>
      </c>
      <c r="CS2" t="s">
        <v>1459</v>
      </c>
      <c r="CT2" t="s">
        <v>1452</v>
      </c>
      <c r="CU2" t="s">
        <v>1453</v>
      </c>
      <c r="CV2" t="s">
        <v>814</v>
      </c>
      <c r="CW2" t="s">
        <v>1455</v>
      </c>
      <c r="CX2" t="s">
        <v>1460</v>
      </c>
      <c r="CY2" t="s">
        <v>1461</v>
      </c>
      <c r="CZ2" t="s">
        <v>1453</v>
      </c>
      <c r="DA2" t="s">
        <v>1462</v>
      </c>
      <c r="DB2" t="s">
        <v>1463</v>
      </c>
      <c r="DC2" t="s">
        <v>1464</v>
      </c>
      <c r="DD2" t="s">
        <v>919</v>
      </c>
      <c r="DJ2" t="s">
        <v>1465</v>
      </c>
      <c r="DK2" t="s">
        <v>1453</v>
      </c>
      <c r="DL2" t="s">
        <v>1466</v>
      </c>
      <c r="DM2" t="s">
        <v>1467</v>
      </c>
      <c r="DN2" t="s">
        <v>1468</v>
      </c>
      <c r="DO2" t="s">
        <v>673</v>
      </c>
      <c r="DP2" t="s">
        <v>1453</v>
      </c>
      <c r="DQ2" t="s">
        <v>1462</v>
      </c>
      <c r="DR2" t="s">
        <v>1455</v>
      </c>
      <c r="DS2" t="s">
        <v>1469</v>
      </c>
      <c r="DT2" t="s">
        <v>1470</v>
      </c>
      <c r="DU2" t="s">
        <v>1453</v>
      </c>
      <c r="DV2" t="s">
        <v>814</v>
      </c>
      <c r="DW2" t="s">
        <v>1471</v>
      </c>
      <c r="DX2" t="s">
        <v>1472</v>
      </c>
      <c r="EA2" t="s">
        <v>919</v>
      </c>
      <c r="EG2" t="s">
        <v>1473</v>
      </c>
      <c r="EH2" t="s">
        <v>1474</v>
      </c>
      <c r="EI2" t="s">
        <v>1475</v>
      </c>
      <c r="EJ2" t="s">
        <v>1476</v>
      </c>
      <c r="EK2" t="s">
        <v>1477</v>
      </c>
      <c r="EM2" t="s">
        <v>1473</v>
      </c>
      <c r="EN2" t="s">
        <v>1474</v>
      </c>
      <c r="EO2" t="s">
        <v>1478</v>
      </c>
      <c r="EP2" t="s">
        <v>1476</v>
      </c>
      <c r="EQ2" t="s">
        <v>1477</v>
      </c>
      <c r="ES2" t="s">
        <v>1473</v>
      </c>
      <c r="ET2" t="s">
        <v>1474</v>
      </c>
      <c r="EU2" t="s">
        <v>1479</v>
      </c>
      <c r="EV2" t="s">
        <v>1476</v>
      </c>
      <c r="EW2" t="s">
        <v>1480</v>
      </c>
      <c r="EX2" t="s">
        <v>919</v>
      </c>
      <c r="EY2" t="s">
        <v>1473</v>
      </c>
      <c r="EZ2" t="s">
        <v>1474</v>
      </c>
      <c r="FA2" t="s">
        <v>1481</v>
      </c>
      <c r="FB2" t="s">
        <v>1476</v>
      </c>
      <c r="FC2" t="s">
        <v>1482</v>
      </c>
    </row>
    <row r="3" spans="1:159" ht="18" customHeight="1">
      <c r="A3" s="51" t="s">
        <v>1483</v>
      </c>
      <c r="B3" s="190" t="s">
        <v>1484</v>
      </c>
      <c r="C3" s="32" t="s">
        <v>1485</v>
      </c>
      <c r="D3" s="32"/>
      <c r="E3" s="32"/>
      <c r="F3" s="32" t="s">
        <v>1356</v>
      </c>
      <c r="G3" s="32" t="s">
        <v>1486</v>
      </c>
      <c r="H3" s="32"/>
      <c r="I3" s="32" t="s">
        <v>919</v>
      </c>
      <c r="J3" s="32" t="s">
        <v>919</v>
      </c>
      <c r="K3" s="190" t="s">
        <v>919</v>
      </c>
      <c r="L3" s="190">
        <v>0</v>
      </c>
      <c r="M3" s="190" t="s">
        <v>1226</v>
      </c>
      <c r="N3" s="190" t="s">
        <v>919</v>
      </c>
      <c r="P3" s="210" t="s">
        <v>1226</v>
      </c>
      <c r="Q3" s="210">
        <v>0.45</v>
      </c>
      <c r="R3" s="210">
        <v>0.2</v>
      </c>
      <c r="S3" s="210">
        <v>2.25</v>
      </c>
      <c r="T3" s="210">
        <v>6.5</v>
      </c>
      <c r="U3" s="210" t="s">
        <v>1487</v>
      </c>
      <c r="V3" s="210" t="s">
        <v>1485</v>
      </c>
      <c r="W3" s="210">
        <v>1</v>
      </c>
      <c r="X3" t="s">
        <v>1488</v>
      </c>
      <c r="AA3" t="s">
        <v>1489</v>
      </c>
      <c r="AB3">
        <v>10</v>
      </c>
      <c r="AC3">
        <v>3</v>
      </c>
      <c r="AD3" t="s">
        <v>1490</v>
      </c>
      <c r="AE3" t="s">
        <v>1491</v>
      </c>
      <c r="AF3" t="s">
        <v>1492</v>
      </c>
      <c r="AG3" t="s">
        <v>1493</v>
      </c>
      <c r="AH3" t="s">
        <v>1494</v>
      </c>
      <c r="AI3" t="s">
        <v>1495</v>
      </c>
      <c r="AJ3" t="s">
        <v>1496</v>
      </c>
      <c r="AN3">
        <v>20</v>
      </c>
      <c r="AO3">
        <v>32</v>
      </c>
      <c r="AP3">
        <v>32</v>
      </c>
      <c r="AQ3">
        <v>24</v>
      </c>
      <c r="AR3">
        <v>5</v>
      </c>
      <c r="AS3">
        <v>130</v>
      </c>
      <c r="AT3">
        <v>3.0000000000000001E-3</v>
      </c>
      <c r="AU3">
        <v>6.0000000000000001E-3</v>
      </c>
      <c r="AV3">
        <v>7.2</v>
      </c>
      <c r="AW3" t="s">
        <v>1497</v>
      </c>
      <c r="AX3">
        <v>12</v>
      </c>
      <c r="AY3">
        <v>21</v>
      </c>
      <c r="AZ3">
        <v>28</v>
      </c>
      <c r="BA3">
        <v>36</v>
      </c>
      <c r="BB3">
        <v>48</v>
      </c>
      <c r="BD3">
        <v>2</v>
      </c>
      <c r="BE3" t="s">
        <v>1498</v>
      </c>
      <c r="BF3">
        <v>-4</v>
      </c>
      <c r="BG3" t="s">
        <v>1499</v>
      </c>
      <c r="BH3" t="s">
        <v>1500</v>
      </c>
      <c r="BI3" t="s">
        <v>1501</v>
      </c>
      <c r="BJ3">
        <v>2</v>
      </c>
      <c r="BK3" t="s">
        <v>1498</v>
      </c>
      <c r="BL3">
        <v>-4</v>
      </c>
      <c r="BM3" t="s">
        <v>1499</v>
      </c>
      <c r="BN3" t="s">
        <v>1500</v>
      </c>
      <c r="BO3" t="s">
        <v>1501</v>
      </c>
      <c r="BP3">
        <v>2</v>
      </c>
      <c r="BQ3" t="s">
        <v>1498</v>
      </c>
      <c r="BR3">
        <v>-4</v>
      </c>
      <c r="BS3" t="s">
        <v>1499</v>
      </c>
      <c r="BT3" t="s">
        <v>1500</v>
      </c>
      <c r="BU3" t="s">
        <v>1501</v>
      </c>
      <c r="BV3">
        <v>2</v>
      </c>
      <c r="BW3" t="s">
        <v>1498</v>
      </c>
      <c r="BX3">
        <v>-4</v>
      </c>
      <c r="BY3" t="s">
        <v>1499</v>
      </c>
      <c r="BZ3" t="s">
        <v>1500</v>
      </c>
      <c r="CA3" t="s">
        <v>1501</v>
      </c>
      <c r="CB3" t="s">
        <v>1502</v>
      </c>
      <c r="CC3">
        <v>57</v>
      </c>
      <c r="CD3">
        <v>58</v>
      </c>
      <c r="CE3">
        <v>59</v>
      </c>
      <c r="CF3">
        <v>60</v>
      </c>
      <c r="CG3">
        <v>61</v>
      </c>
      <c r="CH3" t="s">
        <v>17</v>
      </c>
      <c r="CJ3" t="s">
        <v>1503</v>
      </c>
      <c r="CK3" t="s">
        <v>1504</v>
      </c>
      <c r="CL3" t="s">
        <v>818</v>
      </c>
      <c r="CM3" t="s">
        <v>1505</v>
      </c>
      <c r="CN3" t="s">
        <v>1506</v>
      </c>
      <c r="CO3" t="s">
        <v>1507</v>
      </c>
      <c r="CP3" t="s">
        <v>1508</v>
      </c>
      <c r="CQ3" t="s">
        <v>1458</v>
      </c>
      <c r="CR3" t="s">
        <v>1509</v>
      </c>
      <c r="CS3" t="s">
        <v>1510</v>
      </c>
      <c r="CT3" t="s">
        <v>1511</v>
      </c>
      <c r="CU3" t="s">
        <v>1508</v>
      </c>
      <c r="CV3" t="s">
        <v>1478</v>
      </c>
      <c r="CW3" t="s">
        <v>1512</v>
      </c>
      <c r="CX3" t="s">
        <v>1513</v>
      </c>
      <c r="CY3" t="s">
        <v>1514</v>
      </c>
      <c r="CZ3" t="s">
        <v>1515</v>
      </c>
      <c r="DA3" t="s">
        <v>1462</v>
      </c>
      <c r="DB3" t="s">
        <v>1516</v>
      </c>
      <c r="DC3" t="s">
        <v>1517</v>
      </c>
      <c r="DD3" t="s">
        <v>1233</v>
      </c>
      <c r="DE3">
        <v>88</v>
      </c>
      <c r="DF3">
        <v>89</v>
      </c>
      <c r="DG3">
        <v>90</v>
      </c>
      <c r="DH3">
        <v>91</v>
      </c>
      <c r="DI3">
        <v>92</v>
      </c>
      <c r="DJ3" t="s">
        <v>1328</v>
      </c>
      <c r="DK3" t="s">
        <v>1518</v>
      </c>
      <c r="DL3" t="s">
        <v>1519</v>
      </c>
      <c r="DM3" t="s">
        <v>1505</v>
      </c>
      <c r="DN3" t="s">
        <v>1520</v>
      </c>
      <c r="DO3" t="s">
        <v>1521</v>
      </c>
      <c r="DP3" t="s">
        <v>1508</v>
      </c>
      <c r="DQ3" t="s">
        <v>1522</v>
      </c>
      <c r="DR3" t="s">
        <v>1516</v>
      </c>
      <c r="DS3" t="s">
        <v>1523</v>
      </c>
      <c r="DT3" t="s">
        <v>1524</v>
      </c>
      <c r="DU3" t="s">
        <v>1518</v>
      </c>
      <c r="DV3" t="s">
        <v>814</v>
      </c>
      <c r="DW3" t="s">
        <v>1471</v>
      </c>
      <c r="DX3" t="s">
        <v>1525</v>
      </c>
      <c r="EA3" t="s">
        <v>1526</v>
      </c>
      <c r="EB3">
        <v>137</v>
      </c>
      <c r="EC3">
        <v>138</v>
      </c>
      <c r="ED3">
        <v>139</v>
      </c>
      <c r="EE3">
        <v>140</v>
      </c>
      <c r="EF3">
        <v>141</v>
      </c>
      <c r="EG3" t="s">
        <v>1527</v>
      </c>
      <c r="EH3" t="s">
        <v>1508</v>
      </c>
      <c r="EI3" t="s">
        <v>1475</v>
      </c>
      <c r="EJ3" t="s">
        <v>1476</v>
      </c>
      <c r="EK3" t="s">
        <v>1528</v>
      </c>
      <c r="EM3" t="s">
        <v>1527</v>
      </c>
      <c r="EN3" t="s">
        <v>1508</v>
      </c>
      <c r="EO3" t="s">
        <v>1478</v>
      </c>
      <c r="EP3" t="s">
        <v>1476</v>
      </c>
      <c r="EQ3" t="s">
        <v>1529</v>
      </c>
      <c r="ES3" t="s">
        <v>1527</v>
      </c>
      <c r="ET3" t="s">
        <v>1508</v>
      </c>
      <c r="EU3" t="s">
        <v>1479</v>
      </c>
      <c r="EV3" t="s">
        <v>1476</v>
      </c>
      <c r="EW3" t="s">
        <v>1530</v>
      </c>
      <c r="EX3">
        <v>35</v>
      </c>
      <c r="EY3" t="s">
        <v>1527</v>
      </c>
      <c r="EZ3" t="s">
        <v>1508</v>
      </c>
      <c r="FA3" t="s">
        <v>1481</v>
      </c>
      <c r="FB3" t="s">
        <v>1476</v>
      </c>
      <c r="FC3" t="s">
        <v>1531</v>
      </c>
    </row>
    <row r="4" spans="1:159" ht="18" customHeight="1">
      <c r="A4" s="191" t="s">
        <v>1234</v>
      </c>
      <c r="B4" s="206" t="s">
        <v>1532</v>
      </c>
      <c r="C4" s="32" t="s">
        <v>1485</v>
      </c>
      <c r="D4" s="206" t="s">
        <v>1233</v>
      </c>
      <c r="E4" s="206" t="s">
        <v>1533</v>
      </c>
      <c r="F4" s="206" t="s">
        <v>919</v>
      </c>
      <c r="G4" s="206" t="s">
        <v>1534</v>
      </c>
      <c r="H4" s="206" t="s">
        <v>1535</v>
      </c>
      <c r="I4" s="206" t="s">
        <v>1536</v>
      </c>
      <c r="J4" s="206" t="s">
        <v>1537</v>
      </c>
      <c r="K4" s="206" t="s">
        <v>1538</v>
      </c>
      <c r="L4" s="206">
        <v>19</v>
      </c>
      <c r="M4" s="206" t="s">
        <v>1225</v>
      </c>
      <c r="N4" s="206" t="s">
        <v>1539</v>
      </c>
      <c r="P4" s="211" t="s">
        <v>1225</v>
      </c>
      <c r="Q4" s="211">
        <v>0.5</v>
      </c>
      <c r="R4" s="211">
        <v>0.21</v>
      </c>
      <c r="S4" s="211">
        <v>2.38</v>
      </c>
      <c r="T4" s="211">
        <v>7.2</v>
      </c>
      <c r="U4" s="211" t="s">
        <v>1540</v>
      </c>
      <c r="V4" s="211" t="s">
        <v>24</v>
      </c>
      <c r="W4" s="211">
        <v>5.0999999999999996</v>
      </c>
      <c r="X4" t="s">
        <v>1541</v>
      </c>
      <c r="AA4" t="s">
        <v>1542</v>
      </c>
      <c r="AB4">
        <v>25</v>
      </c>
      <c r="AC4">
        <v>5</v>
      </c>
      <c r="AD4" t="s">
        <v>1543</v>
      </c>
      <c r="AE4" t="s">
        <v>1544</v>
      </c>
      <c r="AF4" t="s">
        <v>1545</v>
      </c>
      <c r="AG4" t="s">
        <v>1546</v>
      </c>
      <c r="AH4" t="s">
        <v>1547</v>
      </c>
      <c r="AI4" t="s">
        <v>1548</v>
      </c>
      <c r="AJ4" t="s">
        <v>1549</v>
      </c>
      <c r="AN4">
        <v>12</v>
      </c>
      <c r="AO4">
        <v>20</v>
      </c>
      <c r="AP4">
        <v>20</v>
      </c>
      <c r="AQ4">
        <v>15</v>
      </c>
      <c r="AR4">
        <v>4</v>
      </c>
      <c r="AS4">
        <v>75</v>
      </c>
      <c r="AT4">
        <v>6.0000000000000001E-3</v>
      </c>
      <c r="AU4">
        <v>0.01</v>
      </c>
      <c r="AV4">
        <v>7.2</v>
      </c>
      <c r="AW4" t="s">
        <v>1497</v>
      </c>
      <c r="AX4">
        <v>14</v>
      </c>
      <c r="AY4">
        <v>20</v>
      </c>
      <c r="AZ4">
        <v>26</v>
      </c>
      <c r="BA4">
        <v>34</v>
      </c>
      <c r="BB4">
        <v>44</v>
      </c>
      <c r="BD4">
        <v>3</v>
      </c>
      <c r="BE4" t="s">
        <v>1550</v>
      </c>
      <c r="BF4">
        <v>-2</v>
      </c>
      <c r="BG4" t="s">
        <v>1450</v>
      </c>
      <c r="BH4" t="s">
        <v>1551</v>
      </c>
      <c r="BJ4">
        <v>3</v>
      </c>
      <c r="BK4" t="s">
        <v>1550</v>
      </c>
      <c r="BL4">
        <v>-2</v>
      </c>
      <c r="BM4" t="s">
        <v>1450</v>
      </c>
      <c r="BN4" t="s">
        <v>1551</v>
      </c>
      <c r="BP4">
        <v>3</v>
      </c>
      <c r="BQ4" t="s">
        <v>1550</v>
      </c>
      <c r="BR4">
        <v>-2</v>
      </c>
      <c r="BS4" t="s">
        <v>1450</v>
      </c>
      <c r="BT4" t="s">
        <v>1551</v>
      </c>
      <c r="BV4">
        <v>3</v>
      </c>
      <c r="BW4" t="s">
        <v>1550</v>
      </c>
      <c r="BX4">
        <v>-2</v>
      </c>
      <c r="BY4" t="s">
        <v>1450</v>
      </c>
      <c r="BZ4" t="s">
        <v>1551</v>
      </c>
      <c r="CB4" t="s">
        <v>1552</v>
      </c>
      <c r="CC4">
        <v>63</v>
      </c>
      <c r="CD4">
        <v>64</v>
      </c>
      <c r="CE4">
        <v>65</v>
      </c>
      <c r="CF4">
        <v>66</v>
      </c>
      <c r="CG4">
        <v>67</v>
      </c>
      <c r="CH4" t="s">
        <v>1553</v>
      </c>
      <c r="CI4">
        <v>0.55000000000000004</v>
      </c>
      <c r="CJ4" t="s">
        <v>1554</v>
      </c>
      <c r="CK4" t="s">
        <v>1555</v>
      </c>
      <c r="CL4" t="s">
        <v>1478</v>
      </c>
      <c r="CM4" t="s">
        <v>1556</v>
      </c>
      <c r="CN4" t="s">
        <v>1557</v>
      </c>
      <c r="CO4" t="s">
        <v>1558</v>
      </c>
      <c r="CP4" t="s">
        <v>1555</v>
      </c>
      <c r="CQ4" t="s">
        <v>1458</v>
      </c>
      <c r="CR4" t="s">
        <v>1512</v>
      </c>
      <c r="CS4" t="s">
        <v>1559</v>
      </c>
      <c r="CT4" t="s">
        <v>1560</v>
      </c>
      <c r="CU4" t="s">
        <v>1561</v>
      </c>
      <c r="CV4" t="s">
        <v>1475</v>
      </c>
      <c r="CW4" t="s">
        <v>1562</v>
      </c>
      <c r="CX4" t="s">
        <v>1563</v>
      </c>
      <c r="CY4" t="s">
        <v>1564</v>
      </c>
      <c r="CZ4" t="s">
        <v>1561</v>
      </c>
      <c r="DA4" t="s">
        <v>1462</v>
      </c>
      <c r="DB4" t="s">
        <v>1565</v>
      </c>
      <c r="DC4" t="s">
        <v>1566</v>
      </c>
      <c r="DD4" t="s">
        <v>1234</v>
      </c>
      <c r="DE4">
        <v>93</v>
      </c>
      <c r="DF4">
        <v>94</v>
      </c>
      <c r="DG4">
        <v>95</v>
      </c>
      <c r="DH4">
        <v>96</v>
      </c>
      <c r="DI4">
        <v>97</v>
      </c>
      <c r="DJ4" t="s">
        <v>1567</v>
      </c>
      <c r="DK4" t="s">
        <v>1568</v>
      </c>
      <c r="DL4" t="s">
        <v>1499</v>
      </c>
      <c r="DM4" t="s">
        <v>1569</v>
      </c>
      <c r="DN4" t="s">
        <v>1570</v>
      </c>
      <c r="DO4" t="s">
        <v>1571</v>
      </c>
      <c r="DP4" t="s">
        <v>1515</v>
      </c>
      <c r="DQ4" t="s">
        <v>1522</v>
      </c>
      <c r="DR4" t="s">
        <v>1565</v>
      </c>
      <c r="DS4" t="s">
        <v>1572</v>
      </c>
      <c r="DT4" t="s">
        <v>1573</v>
      </c>
      <c r="DU4" t="s">
        <v>1574</v>
      </c>
      <c r="DV4" t="s">
        <v>814</v>
      </c>
      <c r="DW4" t="s">
        <v>1471</v>
      </c>
      <c r="DX4" t="s">
        <v>1575</v>
      </c>
      <c r="EA4" t="s">
        <v>1576</v>
      </c>
      <c r="EB4">
        <v>143</v>
      </c>
      <c r="EC4">
        <v>144</v>
      </c>
      <c r="ED4">
        <v>145</v>
      </c>
      <c r="EE4">
        <v>146</v>
      </c>
      <c r="EF4">
        <v>147</v>
      </c>
      <c r="EG4" t="s">
        <v>1577</v>
      </c>
      <c r="EH4" t="s">
        <v>1555</v>
      </c>
      <c r="EI4" t="s">
        <v>1475</v>
      </c>
      <c r="EJ4" t="s">
        <v>1476</v>
      </c>
      <c r="EK4" t="s">
        <v>1578</v>
      </c>
      <c r="EM4" t="s">
        <v>1577</v>
      </c>
      <c r="EN4" t="s">
        <v>1555</v>
      </c>
      <c r="EO4" t="s">
        <v>1478</v>
      </c>
      <c r="EP4" t="s">
        <v>1476</v>
      </c>
      <c r="EQ4" t="s">
        <v>1578</v>
      </c>
      <c r="ES4" t="s">
        <v>1577</v>
      </c>
      <c r="ET4" t="s">
        <v>1555</v>
      </c>
      <c r="EU4" t="s">
        <v>1479</v>
      </c>
      <c r="EV4" t="s">
        <v>1476</v>
      </c>
      <c r="EW4" t="s">
        <v>1579</v>
      </c>
      <c r="EX4">
        <v>40</v>
      </c>
      <c r="EY4" t="s">
        <v>1577</v>
      </c>
      <c r="EZ4" t="s">
        <v>1555</v>
      </c>
      <c r="FA4" t="s">
        <v>1481</v>
      </c>
      <c r="FB4" t="s">
        <v>1476</v>
      </c>
      <c r="FC4" t="s">
        <v>1580</v>
      </c>
    </row>
    <row r="5" spans="1:159" ht="18" customHeight="1">
      <c r="A5" s="51" t="s">
        <v>1235</v>
      </c>
      <c r="B5" s="190" t="s">
        <v>1581</v>
      </c>
      <c r="C5" s="32" t="s">
        <v>1485</v>
      </c>
      <c r="D5" s="190" t="s">
        <v>1234</v>
      </c>
      <c r="E5" s="190" t="s">
        <v>1582</v>
      </c>
      <c r="F5" s="190" t="s">
        <v>1583</v>
      </c>
      <c r="G5" s="190" t="s">
        <v>1584</v>
      </c>
      <c r="H5" s="190" t="s">
        <v>1585</v>
      </c>
      <c r="I5" s="190" t="s">
        <v>480</v>
      </c>
      <c r="J5" s="190" t="s">
        <v>1586</v>
      </c>
      <c r="K5" s="190" t="s">
        <v>1587</v>
      </c>
      <c r="L5" s="190">
        <v>23</v>
      </c>
      <c r="M5" s="190" t="s">
        <v>1588</v>
      </c>
      <c r="N5" s="190" t="s">
        <v>480</v>
      </c>
      <c r="P5" s="211" t="s">
        <v>1588</v>
      </c>
      <c r="Q5" s="211">
        <v>0.44</v>
      </c>
      <c r="R5" s="211">
        <v>0.2</v>
      </c>
      <c r="S5" s="211">
        <v>2.2000000000000002</v>
      </c>
      <c r="T5" s="211">
        <v>6.8</v>
      </c>
      <c r="U5" s="211" t="s">
        <v>1589</v>
      </c>
      <c r="V5" s="211" t="s">
        <v>1590</v>
      </c>
      <c r="W5" s="211">
        <v>6</v>
      </c>
      <c r="X5" t="s">
        <v>1591</v>
      </c>
      <c r="AA5" t="s">
        <v>1592</v>
      </c>
      <c r="AB5">
        <v>37</v>
      </c>
      <c r="AC5">
        <v>6</v>
      </c>
      <c r="AD5" t="s">
        <v>1593</v>
      </c>
      <c r="AE5" t="s">
        <v>1594</v>
      </c>
      <c r="AF5" t="s">
        <v>1595</v>
      </c>
      <c r="AG5" t="s">
        <v>1596</v>
      </c>
      <c r="AH5" t="s">
        <v>1597</v>
      </c>
      <c r="AI5" t="s">
        <v>1598</v>
      </c>
      <c r="AJ5" t="s">
        <v>1450</v>
      </c>
      <c r="AN5">
        <v>4</v>
      </c>
      <c r="AO5">
        <v>5</v>
      </c>
      <c r="AP5">
        <v>5</v>
      </c>
      <c r="AQ5">
        <v>5</v>
      </c>
      <c r="AR5">
        <v>1</v>
      </c>
      <c r="AS5">
        <v>30</v>
      </c>
      <c r="AT5">
        <v>0.01</v>
      </c>
      <c r="AU5">
        <v>0.01</v>
      </c>
      <c r="AV5">
        <v>7.2</v>
      </c>
      <c r="AW5" t="s">
        <v>1599</v>
      </c>
      <c r="AX5">
        <v>0</v>
      </c>
      <c r="AY5">
        <v>18</v>
      </c>
      <c r="AZ5">
        <v>26</v>
      </c>
      <c r="BA5">
        <v>32</v>
      </c>
      <c r="BB5">
        <v>50</v>
      </c>
      <c r="BD5">
        <v>4</v>
      </c>
      <c r="BE5" t="s">
        <v>671</v>
      </c>
      <c r="BF5">
        <v>0</v>
      </c>
      <c r="BG5" t="s">
        <v>1600</v>
      </c>
      <c r="BH5" t="s">
        <v>1601</v>
      </c>
      <c r="BI5" t="s">
        <v>1602</v>
      </c>
      <c r="BJ5">
        <v>4</v>
      </c>
      <c r="BK5" t="s">
        <v>671</v>
      </c>
      <c r="BL5">
        <v>0</v>
      </c>
      <c r="BM5" t="s">
        <v>1600</v>
      </c>
      <c r="BN5" t="s">
        <v>1601</v>
      </c>
      <c r="BO5" t="s">
        <v>1602</v>
      </c>
      <c r="BP5">
        <v>4</v>
      </c>
      <c r="BQ5" t="s">
        <v>671</v>
      </c>
      <c r="BR5">
        <v>0</v>
      </c>
      <c r="BS5" t="s">
        <v>1600</v>
      </c>
      <c r="BT5" t="s">
        <v>1601</v>
      </c>
      <c r="BU5" t="s">
        <v>1602</v>
      </c>
      <c r="BV5">
        <v>4</v>
      </c>
      <c r="BW5" t="s">
        <v>1603</v>
      </c>
      <c r="BX5">
        <v>0</v>
      </c>
      <c r="BY5" t="s">
        <v>1600</v>
      </c>
      <c r="BZ5" t="s">
        <v>1604</v>
      </c>
      <c r="CA5" t="s">
        <v>1602</v>
      </c>
      <c r="CB5" t="s">
        <v>1605</v>
      </c>
      <c r="CC5">
        <v>69</v>
      </c>
      <c r="CD5">
        <v>70</v>
      </c>
      <c r="CE5">
        <v>71</v>
      </c>
      <c r="CF5">
        <v>72</v>
      </c>
      <c r="CG5">
        <v>73</v>
      </c>
      <c r="CH5" t="s">
        <v>1606</v>
      </c>
      <c r="CI5">
        <v>0.63</v>
      </c>
      <c r="CJ5" t="s">
        <v>1607</v>
      </c>
      <c r="CK5" t="s">
        <v>1515</v>
      </c>
      <c r="CL5" t="s">
        <v>814</v>
      </c>
      <c r="CM5" t="s">
        <v>1471</v>
      </c>
      <c r="CN5" t="s">
        <v>1608</v>
      </c>
      <c r="CO5" t="s">
        <v>1609</v>
      </c>
      <c r="CP5" t="s">
        <v>1515</v>
      </c>
      <c r="CQ5" t="s">
        <v>1458</v>
      </c>
      <c r="CR5" t="s">
        <v>1610</v>
      </c>
      <c r="CS5" t="s">
        <v>1611</v>
      </c>
      <c r="CT5" t="s">
        <v>1612</v>
      </c>
      <c r="CU5" t="s">
        <v>1613</v>
      </c>
      <c r="CV5" t="s">
        <v>814</v>
      </c>
      <c r="CW5" t="s">
        <v>1565</v>
      </c>
      <c r="CX5" t="s">
        <v>1614</v>
      </c>
      <c r="CY5" t="s">
        <v>1615</v>
      </c>
      <c r="CZ5" t="s">
        <v>1616</v>
      </c>
      <c r="DA5" t="s">
        <v>1462</v>
      </c>
      <c r="DB5" t="s">
        <v>1617</v>
      </c>
      <c r="DC5" t="s">
        <v>1618</v>
      </c>
      <c r="DD5" t="s">
        <v>1235</v>
      </c>
      <c r="DE5">
        <v>98</v>
      </c>
      <c r="DF5">
        <v>99</v>
      </c>
      <c r="DG5">
        <v>100</v>
      </c>
      <c r="DH5">
        <v>101</v>
      </c>
      <c r="DI5">
        <v>102</v>
      </c>
      <c r="DJ5" t="s">
        <v>1619</v>
      </c>
      <c r="DK5" t="s">
        <v>1508</v>
      </c>
      <c r="DL5" t="s">
        <v>1499</v>
      </c>
      <c r="DM5" t="s">
        <v>1620</v>
      </c>
      <c r="DN5" t="s">
        <v>1621</v>
      </c>
      <c r="DO5" t="s">
        <v>1622</v>
      </c>
      <c r="DP5" t="s">
        <v>1623</v>
      </c>
      <c r="DQ5" t="s">
        <v>1522</v>
      </c>
      <c r="DR5" t="s">
        <v>1624</v>
      </c>
      <c r="DS5" t="s">
        <v>1625</v>
      </c>
      <c r="DT5" t="s">
        <v>614</v>
      </c>
      <c r="DU5" t="s">
        <v>1555</v>
      </c>
      <c r="DV5" t="s">
        <v>818</v>
      </c>
      <c r="DW5" t="s">
        <v>1624</v>
      </c>
      <c r="DX5" t="s">
        <v>1626</v>
      </c>
      <c r="EA5" t="s">
        <v>1627</v>
      </c>
      <c r="EB5">
        <v>149</v>
      </c>
      <c r="EC5">
        <v>150</v>
      </c>
      <c r="ED5">
        <v>151</v>
      </c>
      <c r="EE5">
        <v>152</v>
      </c>
      <c r="EF5">
        <v>153</v>
      </c>
      <c r="EG5" t="s">
        <v>1628</v>
      </c>
      <c r="EH5" t="s">
        <v>1515</v>
      </c>
      <c r="EI5" t="s">
        <v>1475</v>
      </c>
      <c r="EJ5" t="s">
        <v>1476</v>
      </c>
      <c r="EK5" t="s">
        <v>1629</v>
      </c>
      <c r="EM5" t="s">
        <v>1628</v>
      </c>
      <c r="EN5" t="s">
        <v>1515</v>
      </c>
      <c r="EO5" t="s">
        <v>1478</v>
      </c>
      <c r="EP5" t="s">
        <v>1476</v>
      </c>
      <c r="EQ5" t="s">
        <v>1629</v>
      </c>
      <c r="ES5" t="s">
        <v>1628</v>
      </c>
      <c r="ET5" t="s">
        <v>1515</v>
      </c>
      <c r="EU5" t="s">
        <v>1479</v>
      </c>
      <c r="EV5" t="s">
        <v>1476</v>
      </c>
      <c r="EW5" t="s">
        <v>1629</v>
      </c>
      <c r="EX5">
        <v>45</v>
      </c>
      <c r="EY5" t="s">
        <v>1628</v>
      </c>
      <c r="EZ5" t="s">
        <v>1515</v>
      </c>
      <c r="FA5" t="s">
        <v>1481</v>
      </c>
      <c r="FB5" t="s">
        <v>1476</v>
      </c>
      <c r="FC5" t="s">
        <v>1629</v>
      </c>
    </row>
    <row r="6" spans="1:159" ht="18" customHeight="1">
      <c r="A6" s="191" t="s">
        <v>1358</v>
      </c>
      <c r="B6" s="206" t="s">
        <v>1630</v>
      </c>
      <c r="C6" s="32" t="s">
        <v>1485</v>
      </c>
      <c r="D6" s="206" t="s">
        <v>1235</v>
      </c>
      <c r="E6" s="206" t="s">
        <v>1317</v>
      </c>
      <c r="F6" s="206" t="s">
        <v>1631</v>
      </c>
      <c r="G6" s="206" t="s">
        <v>1632</v>
      </c>
      <c r="H6" s="206" t="s">
        <v>1633</v>
      </c>
      <c r="I6" s="206" t="s">
        <v>1539</v>
      </c>
      <c r="J6" s="206" t="s">
        <v>1634</v>
      </c>
      <c r="K6" s="206" t="s">
        <v>1635</v>
      </c>
      <c r="L6" s="206">
        <v>26</v>
      </c>
      <c r="M6" s="206" t="s">
        <v>1636</v>
      </c>
      <c r="N6" s="206" t="s">
        <v>1637</v>
      </c>
      <c r="P6" s="211" t="s">
        <v>1636</v>
      </c>
      <c r="Q6" s="211">
        <v>0.43</v>
      </c>
      <c r="R6" s="211">
        <v>0.2</v>
      </c>
      <c r="S6" s="211">
        <v>2.15</v>
      </c>
      <c r="T6" s="211">
        <v>7</v>
      </c>
      <c r="U6" s="211" t="s">
        <v>1638</v>
      </c>
      <c r="V6" s="211"/>
      <c r="W6" s="211"/>
      <c r="X6">
        <v>30</v>
      </c>
      <c r="AA6" t="s">
        <v>1639</v>
      </c>
      <c r="AB6">
        <v>8</v>
      </c>
      <c r="AC6">
        <v>2</v>
      </c>
      <c r="AE6" t="s">
        <v>1640</v>
      </c>
      <c r="AF6" t="s">
        <v>1641</v>
      </c>
      <c r="AG6" t="s">
        <v>1642</v>
      </c>
      <c r="AH6" t="s">
        <v>1643</v>
      </c>
      <c r="AI6" t="s">
        <v>1644</v>
      </c>
      <c r="AJ6" t="s">
        <v>1645</v>
      </c>
      <c r="AN6">
        <v>3</v>
      </c>
      <c r="AO6">
        <v>3</v>
      </c>
      <c r="AP6">
        <v>3</v>
      </c>
      <c r="AQ6">
        <v>3</v>
      </c>
      <c r="AR6">
        <v>1</v>
      </c>
      <c r="AS6">
        <v>18</v>
      </c>
      <c r="AT6">
        <v>0.01</v>
      </c>
      <c r="AU6">
        <v>0.01</v>
      </c>
      <c r="AV6">
        <v>7.2</v>
      </c>
      <c r="AW6" t="s">
        <v>1599</v>
      </c>
      <c r="AX6">
        <v>0</v>
      </c>
      <c r="AY6">
        <v>16</v>
      </c>
      <c r="AZ6">
        <v>24</v>
      </c>
      <c r="BA6">
        <v>30</v>
      </c>
      <c r="BB6">
        <v>44</v>
      </c>
      <c r="BD6">
        <v>5</v>
      </c>
      <c r="BE6" t="s">
        <v>1646</v>
      </c>
      <c r="BF6">
        <v>1</v>
      </c>
      <c r="BG6" t="s">
        <v>1647</v>
      </c>
      <c r="BH6" t="s">
        <v>1648</v>
      </c>
      <c r="BJ6">
        <v>5</v>
      </c>
      <c r="BK6" t="s">
        <v>1646</v>
      </c>
      <c r="BL6">
        <v>1</v>
      </c>
      <c r="BM6" t="s">
        <v>1647</v>
      </c>
      <c r="BN6" t="s">
        <v>1648</v>
      </c>
      <c r="BP6">
        <v>5</v>
      </c>
      <c r="BQ6" t="s">
        <v>1649</v>
      </c>
      <c r="BR6">
        <v>1</v>
      </c>
      <c r="BS6" t="s">
        <v>1650</v>
      </c>
      <c r="BT6" t="s">
        <v>1651</v>
      </c>
      <c r="BU6" t="s">
        <v>1652</v>
      </c>
      <c r="BV6">
        <v>5</v>
      </c>
      <c r="BW6" t="s">
        <v>1653</v>
      </c>
      <c r="BX6">
        <v>1</v>
      </c>
      <c r="BY6" t="s">
        <v>1497</v>
      </c>
      <c r="BZ6" t="s">
        <v>1654</v>
      </c>
      <c r="CB6" t="s">
        <v>1655</v>
      </c>
      <c r="CC6">
        <v>69</v>
      </c>
      <c r="CD6">
        <v>70</v>
      </c>
      <c r="CE6">
        <v>71</v>
      </c>
      <c r="CF6">
        <v>72</v>
      </c>
      <c r="CG6">
        <v>73</v>
      </c>
      <c r="CH6" t="s">
        <v>1656</v>
      </c>
      <c r="CI6">
        <v>0.68</v>
      </c>
      <c r="CJ6" t="s">
        <v>1566</v>
      </c>
      <c r="CK6" t="s">
        <v>1623</v>
      </c>
      <c r="CL6" t="s">
        <v>818</v>
      </c>
      <c r="CM6" t="s">
        <v>1624</v>
      </c>
      <c r="CN6" t="s">
        <v>1657</v>
      </c>
      <c r="CO6" t="s">
        <v>1658</v>
      </c>
      <c r="CP6" t="s">
        <v>1659</v>
      </c>
      <c r="CQ6" t="s">
        <v>1478</v>
      </c>
      <c r="CR6" t="s">
        <v>1660</v>
      </c>
      <c r="CS6" t="s">
        <v>1661</v>
      </c>
      <c r="CT6" t="s">
        <v>1662</v>
      </c>
      <c r="CU6" t="s">
        <v>1663</v>
      </c>
      <c r="CV6" t="s">
        <v>818</v>
      </c>
      <c r="CW6" t="s">
        <v>1664</v>
      </c>
      <c r="CX6" t="s">
        <v>1665</v>
      </c>
      <c r="CY6" t="s">
        <v>1666</v>
      </c>
      <c r="CZ6" t="s">
        <v>1667</v>
      </c>
      <c r="DA6" t="s">
        <v>1600</v>
      </c>
      <c r="DB6" t="s">
        <v>1476</v>
      </c>
      <c r="DC6" t="s">
        <v>1668</v>
      </c>
      <c r="DD6" t="s">
        <v>1319</v>
      </c>
      <c r="DE6">
        <v>103</v>
      </c>
      <c r="DF6">
        <v>104</v>
      </c>
      <c r="DG6">
        <v>105</v>
      </c>
      <c r="DH6">
        <v>106</v>
      </c>
      <c r="DI6">
        <v>107</v>
      </c>
      <c r="DJ6" t="s">
        <v>1669</v>
      </c>
      <c r="DK6" t="s">
        <v>1515</v>
      </c>
      <c r="DL6" t="s">
        <v>1670</v>
      </c>
      <c r="DM6" t="s">
        <v>1671</v>
      </c>
      <c r="DN6" t="s">
        <v>1672</v>
      </c>
      <c r="DO6" t="s">
        <v>1673</v>
      </c>
      <c r="DP6" t="s">
        <v>1561</v>
      </c>
      <c r="DQ6" t="s">
        <v>818</v>
      </c>
      <c r="DR6" t="s">
        <v>1674</v>
      </c>
      <c r="DS6" t="s">
        <v>1675</v>
      </c>
      <c r="DT6" t="s">
        <v>1676</v>
      </c>
      <c r="DU6" t="s">
        <v>1623</v>
      </c>
      <c r="DV6" t="s">
        <v>814</v>
      </c>
      <c r="DW6" t="s">
        <v>1674</v>
      </c>
      <c r="DX6" t="s">
        <v>1677</v>
      </c>
      <c r="EA6" t="s">
        <v>1678</v>
      </c>
      <c r="EB6">
        <v>155</v>
      </c>
      <c r="EC6">
        <v>156</v>
      </c>
      <c r="ED6">
        <v>157</v>
      </c>
      <c r="EE6">
        <v>158</v>
      </c>
      <c r="EF6">
        <v>159</v>
      </c>
      <c r="EG6" t="s">
        <v>1679</v>
      </c>
      <c r="EH6" t="s">
        <v>1680</v>
      </c>
      <c r="EI6" t="s">
        <v>1475</v>
      </c>
      <c r="EJ6" t="s">
        <v>1681</v>
      </c>
      <c r="EK6" t="s">
        <v>1682</v>
      </c>
      <c r="EM6" t="s">
        <v>1679</v>
      </c>
      <c r="EN6" t="s">
        <v>1683</v>
      </c>
      <c r="EO6" t="s">
        <v>1478</v>
      </c>
      <c r="EP6" t="s">
        <v>1681</v>
      </c>
      <c r="EQ6" t="s">
        <v>1684</v>
      </c>
      <c r="ES6" t="s">
        <v>1679</v>
      </c>
      <c r="ET6" t="s">
        <v>1685</v>
      </c>
      <c r="EU6" t="s">
        <v>1479</v>
      </c>
      <c r="EV6" t="s">
        <v>1681</v>
      </c>
      <c r="EW6" t="s">
        <v>1686</v>
      </c>
      <c r="EX6">
        <v>50</v>
      </c>
      <c r="EY6" t="s">
        <v>1679</v>
      </c>
      <c r="EZ6" t="s">
        <v>1659</v>
      </c>
      <c r="FA6" t="s">
        <v>1481</v>
      </c>
      <c r="FB6" t="s">
        <v>1681</v>
      </c>
      <c r="FC6" t="s">
        <v>1687</v>
      </c>
    </row>
    <row r="7" spans="1:159" ht="18" customHeight="1">
      <c r="A7" s="51" t="s">
        <v>1354</v>
      </c>
      <c r="B7" s="190" t="s">
        <v>1688</v>
      </c>
      <c r="C7" s="32" t="s">
        <v>1485</v>
      </c>
      <c r="D7" s="190" t="s">
        <v>1354</v>
      </c>
      <c r="E7" s="190" t="s">
        <v>1689</v>
      </c>
      <c r="F7" s="190" t="s">
        <v>1690</v>
      </c>
      <c r="G7" s="190" t="s">
        <v>1691</v>
      </c>
      <c r="H7" s="190" t="s">
        <v>1692</v>
      </c>
      <c r="I7" s="190" t="s">
        <v>1693</v>
      </c>
      <c r="J7" s="190" t="s">
        <v>1694</v>
      </c>
      <c r="K7" s="190" t="s">
        <v>1695</v>
      </c>
      <c r="L7" s="190">
        <v>38</v>
      </c>
      <c r="M7" s="190" t="s">
        <v>1696</v>
      </c>
      <c r="N7" s="190" t="s">
        <v>1697</v>
      </c>
      <c r="P7" s="211" t="s">
        <v>1696</v>
      </c>
      <c r="Q7" s="211">
        <v>0.42</v>
      </c>
      <c r="R7" s="211">
        <v>0.21</v>
      </c>
      <c r="S7" s="211">
        <v>2</v>
      </c>
      <c r="T7" s="211">
        <v>7.2</v>
      </c>
      <c r="U7" s="211" t="s">
        <v>1698</v>
      </c>
      <c r="V7" s="211"/>
      <c r="W7" s="211"/>
      <c r="X7">
        <v>0</v>
      </c>
      <c r="AA7" t="s">
        <v>1699</v>
      </c>
      <c r="AB7">
        <v>37</v>
      </c>
      <c r="AC7">
        <v>6</v>
      </c>
      <c r="AE7" t="s">
        <v>1700</v>
      </c>
      <c r="AF7" t="s">
        <v>1642</v>
      </c>
      <c r="AI7" t="s">
        <v>1701</v>
      </c>
      <c r="AN7">
        <v>5</v>
      </c>
      <c r="AO7">
        <v>8</v>
      </c>
      <c r="AP7">
        <v>8</v>
      </c>
      <c r="AQ7">
        <v>6</v>
      </c>
      <c r="AR7">
        <v>2</v>
      </c>
      <c r="AS7">
        <v>50</v>
      </c>
      <c r="AT7">
        <v>0.01</v>
      </c>
      <c r="AU7">
        <v>0.01</v>
      </c>
      <c r="AV7">
        <v>7.2</v>
      </c>
      <c r="AW7" t="s">
        <v>1702</v>
      </c>
      <c r="AX7">
        <v>10</v>
      </c>
      <c r="AY7">
        <v>16</v>
      </c>
      <c r="AZ7">
        <v>22</v>
      </c>
      <c r="BA7">
        <v>30</v>
      </c>
      <c r="BB7">
        <v>40</v>
      </c>
      <c r="BD7">
        <v>6</v>
      </c>
      <c r="BE7" t="s">
        <v>1703</v>
      </c>
      <c r="BF7">
        <v>2</v>
      </c>
      <c r="BG7" t="s">
        <v>1497</v>
      </c>
      <c r="BH7" t="s">
        <v>1704</v>
      </c>
      <c r="BJ7">
        <v>6</v>
      </c>
      <c r="BK7" t="s">
        <v>1703</v>
      </c>
      <c r="BL7">
        <v>2</v>
      </c>
      <c r="BM7" t="s">
        <v>1497</v>
      </c>
      <c r="BN7" t="s">
        <v>1704</v>
      </c>
      <c r="BP7">
        <v>6</v>
      </c>
      <c r="BQ7" t="s">
        <v>1703</v>
      </c>
      <c r="BR7">
        <v>2</v>
      </c>
      <c r="BS7" t="s">
        <v>1599</v>
      </c>
      <c r="BT7" t="s">
        <v>1704</v>
      </c>
      <c r="BV7">
        <v>6</v>
      </c>
      <c r="BW7" t="s">
        <v>1705</v>
      </c>
      <c r="BX7">
        <v>10</v>
      </c>
      <c r="BY7" t="s">
        <v>1706</v>
      </c>
      <c r="BZ7" t="s">
        <v>1707</v>
      </c>
      <c r="CB7" t="s">
        <v>1708</v>
      </c>
      <c r="CC7">
        <v>75</v>
      </c>
      <c r="CD7">
        <v>76</v>
      </c>
      <c r="CE7">
        <v>77</v>
      </c>
      <c r="CF7">
        <v>78</v>
      </c>
      <c r="CG7">
        <v>79</v>
      </c>
      <c r="CH7" t="s">
        <v>1709</v>
      </c>
      <c r="CI7">
        <v>0.73</v>
      </c>
      <c r="CJ7" t="s">
        <v>1710</v>
      </c>
      <c r="CK7" t="s">
        <v>1561</v>
      </c>
      <c r="CL7" t="s">
        <v>818</v>
      </c>
      <c r="CM7" t="s">
        <v>1674</v>
      </c>
      <c r="CN7" t="s">
        <v>1711</v>
      </c>
      <c r="CO7" t="s">
        <v>1712</v>
      </c>
      <c r="CP7" t="s">
        <v>1561</v>
      </c>
      <c r="CQ7" t="s">
        <v>814</v>
      </c>
      <c r="CR7" t="s">
        <v>1713</v>
      </c>
      <c r="CS7" t="s">
        <v>1714</v>
      </c>
      <c r="CT7" t="s">
        <v>1566</v>
      </c>
      <c r="CU7" t="s">
        <v>1715</v>
      </c>
      <c r="CV7" t="s">
        <v>1716</v>
      </c>
      <c r="CW7" t="s">
        <v>1717</v>
      </c>
      <c r="CX7" t="s">
        <v>1718</v>
      </c>
      <c r="CY7" t="s">
        <v>1719</v>
      </c>
      <c r="CZ7" t="s">
        <v>1667</v>
      </c>
      <c r="DA7" t="s">
        <v>1720</v>
      </c>
      <c r="DB7" t="s">
        <v>1617</v>
      </c>
      <c r="DC7" t="s">
        <v>1721</v>
      </c>
      <c r="DD7" t="s">
        <v>1324</v>
      </c>
      <c r="DE7">
        <v>103</v>
      </c>
      <c r="DF7">
        <v>104</v>
      </c>
      <c r="DG7">
        <v>105</v>
      </c>
      <c r="DH7">
        <v>106</v>
      </c>
      <c r="DI7">
        <v>107</v>
      </c>
      <c r="DJ7" t="s">
        <v>1722</v>
      </c>
      <c r="DK7" t="s">
        <v>1623</v>
      </c>
      <c r="DL7" t="s">
        <v>1723</v>
      </c>
      <c r="DM7" t="s">
        <v>1724</v>
      </c>
      <c r="DN7" t="s">
        <v>1725</v>
      </c>
      <c r="DO7" t="s">
        <v>1726</v>
      </c>
      <c r="DP7" t="s">
        <v>1616</v>
      </c>
      <c r="DQ7" t="s">
        <v>814</v>
      </c>
      <c r="DR7" t="s">
        <v>1727</v>
      </c>
      <c r="DS7" t="s">
        <v>1728</v>
      </c>
      <c r="EA7" t="s">
        <v>1729</v>
      </c>
      <c r="EB7">
        <v>137</v>
      </c>
      <c r="EC7">
        <v>138</v>
      </c>
      <c r="ED7">
        <v>139</v>
      </c>
      <c r="EE7">
        <v>140</v>
      </c>
      <c r="EF7">
        <v>141</v>
      </c>
      <c r="EG7" t="s">
        <v>1730</v>
      </c>
      <c r="EH7" t="s">
        <v>1731</v>
      </c>
      <c r="EI7" t="s">
        <v>1732</v>
      </c>
      <c r="EJ7" t="s">
        <v>279</v>
      </c>
      <c r="EK7" t="s">
        <v>1733</v>
      </c>
      <c r="EM7" t="s">
        <v>1730</v>
      </c>
      <c r="EN7" t="s">
        <v>1734</v>
      </c>
      <c r="EO7" t="s">
        <v>1475</v>
      </c>
      <c r="EP7" t="s">
        <v>279</v>
      </c>
      <c r="EQ7" t="s">
        <v>1735</v>
      </c>
      <c r="ES7" t="s">
        <v>1730</v>
      </c>
      <c r="ET7" t="s">
        <v>1736</v>
      </c>
      <c r="EU7" t="s">
        <v>1478</v>
      </c>
      <c r="EV7" t="s">
        <v>279</v>
      </c>
      <c r="EW7" t="s">
        <v>1737</v>
      </c>
      <c r="EX7">
        <v>55</v>
      </c>
      <c r="EY7" t="s">
        <v>1730</v>
      </c>
      <c r="EZ7" t="s">
        <v>1738</v>
      </c>
      <c r="FA7" t="s">
        <v>1739</v>
      </c>
      <c r="FB7" t="s">
        <v>279</v>
      </c>
      <c r="FC7" t="s">
        <v>1740</v>
      </c>
    </row>
    <row r="8" spans="1:159" ht="18" customHeight="1">
      <c r="A8" s="191" t="s">
        <v>1483</v>
      </c>
      <c r="B8" s="206" t="s">
        <v>1741</v>
      </c>
      <c r="C8" s="32" t="s">
        <v>24</v>
      </c>
      <c r="D8" s="206" t="s">
        <v>1742</v>
      </c>
      <c r="E8" s="206" t="s">
        <v>1743</v>
      </c>
      <c r="F8" s="206" t="s">
        <v>1744</v>
      </c>
      <c r="G8" s="206" t="s">
        <v>1584</v>
      </c>
      <c r="H8" s="206" t="s">
        <v>1745</v>
      </c>
      <c r="I8" s="206" t="s">
        <v>1746</v>
      </c>
      <c r="J8" s="206" t="s">
        <v>1326</v>
      </c>
      <c r="K8" s="206" t="s">
        <v>1747</v>
      </c>
      <c r="L8" s="206">
        <v>57</v>
      </c>
      <c r="M8" s="206" t="s">
        <v>1748</v>
      </c>
      <c r="N8" s="206" t="s">
        <v>1749</v>
      </c>
      <c r="P8" t="s">
        <v>1748</v>
      </c>
      <c r="Q8">
        <v>0.42</v>
      </c>
      <c r="R8">
        <v>0.21</v>
      </c>
      <c r="S8">
        <v>2</v>
      </c>
      <c r="T8">
        <v>7.5</v>
      </c>
      <c r="U8" t="s">
        <v>1750</v>
      </c>
      <c r="AA8" t="s">
        <v>1751</v>
      </c>
      <c r="AB8">
        <v>25</v>
      </c>
      <c r="AC8">
        <v>3</v>
      </c>
      <c r="AE8" t="s">
        <v>1752</v>
      </c>
      <c r="AF8" t="s">
        <v>1753</v>
      </c>
      <c r="AN8">
        <v>8</v>
      </c>
      <c r="AO8">
        <v>10</v>
      </c>
      <c r="AP8">
        <v>10</v>
      </c>
      <c r="AQ8">
        <v>8</v>
      </c>
      <c r="AR8">
        <v>3</v>
      </c>
      <c r="AS8">
        <v>60</v>
      </c>
      <c r="AT8">
        <v>0.01</v>
      </c>
      <c r="AU8">
        <v>0.01</v>
      </c>
      <c r="AV8">
        <v>7.2</v>
      </c>
      <c r="BD8">
        <v>7</v>
      </c>
      <c r="BE8" t="s">
        <v>1754</v>
      </c>
      <c r="BF8">
        <v>6</v>
      </c>
      <c r="BG8" t="s">
        <v>1706</v>
      </c>
      <c r="BH8" t="s">
        <v>1755</v>
      </c>
      <c r="BJ8">
        <v>7</v>
      </c>
      <c r="BK8" t="s">
        <v>1756</v>
      </c>
      <c r="BL8">
        <v>14</v>
      </c>
      <c r="BM8" t="s">
        <v>1706</v>
      </c>
      <c r="BN8" t="s">
        <v>1757</v>
      </c>
      <c r="BP8">
        <v>7</v>
      </c>
      <c r="BQ8" t="s">
        <v>1758</v>
      </c>
      <c r="BR8">
        <v>3</v>
      </c>
      <c r="BS8" t="s">
        <v>1599</v>
      </c>
      <c r="BT8" t="s">
        <v>1759</v>
      </c>
      <c r="BV8">
        <v>7</v>
      </c>
      <c r="BW8" t="s">
        <v>1760</v>
      </c>
      <c r="BX8">
        <v>22</v>
      </c>
      <c r="BY8" t="s">
        <v>1647</v>
      </c>
      <c r="BZ8" t="s">
        <v>1761</v>
      </c>
      <c r="CB8">
        <v>0.95</v>
      </c>
      <c r="CH8" t="s">
        <v>1762</v>
      </c>
      <c r="CI8">
        <v>0.9</v>
      </c>
      <c r="CJ8" t="s">
        <v>1673</v>
      </c>
      <c r="CK8" t="s">
        <v>1763</v>
      </c>
      <c r="CL8" t="s">
        <v>814</v>
      </c>
      <c r="CM8" t="s">
        <v>1764</v>
      </c>
      <c r="CN8" t="s">
        <v>1765</v>
      </c>
      <c r="CO8" t="s">
        <v>1766</v>
      </c>
      <c r="CP8" t="s">
        <v>1613</v>
      </c>
      <c r="CQ8" t="s">
        <v>1716</v>
      </c>
      <c r="CR8" t="s">
        <v>1664</v>
      </c>
      <c r="CS8" t="s">
        <v>1767</v>
      </c>
      <c r="CT8" t="s">
        <v>1673</v>
      </c>
      <c r="CU8" t="s">
        <v>1768</v>
      </c>
      <c r="CV8" t="s">
        <v>818</v>
      </c>
      <c r="CW8" t="s">
        <v>1727</v>
      </c>
      <c r="CX8" t="s">
        <v>1769</v>
      </c>
      <c r="CY8" t="s">
        <v>1770</v>
      </c>
      <c r="CZ8" t="s">
        <v>1613</v>
      </c>
      <c r="DA8" t="s">
        <v>1462</v>
      </c>
      <c r="DB8" t="s">
        <v>1717</v>
      </c>
      <c r="DC8" t="s">
        <v>1771</v>
      </c>
      <c r="DD8" t="s">
        <v>1328</v>
      </c>
      <c r="DE8">
        <v>114</v>
      </c>
      <c r="DF8">
        <v>115</v>
      </c>
      <c r="DG8">
        <v>116</v>
      </c>
      <c r="DH8">
        <v>117</v>
      </c>
      <c r="DI8">
        <v>118</v>
      </c>
      <c r="DJ8" t="s">
        <v>1772</v>
      </c>
      <c r="DK8" t="s">
        <v>1773</v>
      </c>
      <c r="DL8" t="s">
        <v>818</v>
      </c>
      <c r="DM8" t="s">
        <v>1774</v>
      </c>
      <c r="DN8" t="s">
        <v>1775</v>
      </c>
      <c r="EA8" t="s">
        <v>1776</v>
      </c>
      <c r="EB8">
        <v>155</v>
      </c>
      <c r="EC8">
        <v>156</v>
      </c>
      <c r="ED8">
        <v>157</v>
      </c>
      <c r="EE8">
        <v>158</v>
      </c>
      <c r="EF8">
        <v>159</v>
      </c>
      <c r="EG8" t="s">
        <v>1777</v>
      </c>
      <c r="EH8" t="s">
        <v>1734</v>
      </c>
      <c r="EI8" t="s">
        <v>1481</v>
      </c>
      <c r="EJ8" t="s">
        <v>1778</v>
      </c>
      <c r="EK8" t="s">
        <v>1779</v>
      </c>
      <c r="EM8" t="s">
        <v>1777</v>
      </c>
      <c r="EN8" t="s">
        <v>1780</v>
      </c>
      <c r="EO8" t="s">
        <v>1732</v>
      </c>
      <c r="EP8" t="s">
        <v>1778</v>
      </c>
      <c r="EQ8" t="s">
        <v>1781</v>
      </c>
      <c r="ES8" t="s">
        <v>1777</v>
      </c>
      <c r="ET8" t="s">
        <v>1782</v>
      </c>
      <c r="EU8" t="s">
        <v>1475</v>
      </c>
      <c r="EV8" t="s">
        <v>1778</v>
      </c>
      <c r="EW8" t="s">
        <v>1783</v>
      </c>
      <c r="EX8">
        <v>60</v>
      </c>
      <c r="EY8" t="s">
        <v>1777</v>
      </c>
      <c r="EZ8" t="s">
        <v>1784</v>
      </c>
      <c r="FA8" t="s">
        <v>1785</v>
      </c>
      <c r="FB8" t="s">
        <v>1778</v>
      </c>
      <c r="FC8" t="s">
        <v>1786</v>
      </c>
    </row>
    <row r="9" spans="1:159" ht="18" customHeight="1">
      <c r="A9" s="51" t="s">
        <v>1787</v>
      </c>
      <c r="B9" s="190" t="s">
        <v>1788</v>
      </c>
      <c r="C9" s="32" t="s">
        <v>1485</v>
      </c>
      <c r="D9" s="190" t="s">
        <v>1247</v>
      </c>
      <c r="E9" s="190" t="s">
        <v>1789</v>
      </c>
      <c r="F9" s="190" t="s">
        <v>1790</v>
      </c>
      <c r="G9" s="190" t="s">
        <v>1791</v>
      </c>
      <c r="H9" s="190" t="s">
        <v>1792</v>
      </c>
      <c r="I9" s="190"/>
      <c r="J9" s="190" t="s">
        <v>1793</v>
      </c>
      <c r="K9" s="190" t="s">
        <v>1794</v>
      </c>
      <c r="L9" s="190">
        <v>30</v>
      </c>
      <c r="M9" s="190" t="s">
        <v>1795</v>
      </c>
      <c r="N9" s="190"/>
      <c r="P9" s="212" t="s">
        <v>1795</v>
      </c>
      <c r="Q9">
        <v>0.43</v>
      </c>
      <c r="R9">
        <v>0.2</v>
      </c>
      <c r="S9">
        <v>2.15</v>
      </c>
      <c r="T9">
        <v>7</v>
      </c>
      <c r="U9" t="s">
        <v>1796</v>
      </c>
      <c r="AA9" t="s">
        <v>1797</v>
      </c>
      <c r="AB9">
        <v>10</v>
      </c>
      <c r="AC9">
        <v>2</v>
      </c>
      <c r="AE9" t="s">
        <v>1798</v>
      </c>
      <c r="AF9" t="s">
        <v>1799</v>
      </c>
      <c r="AN9">
        <v>0</v>
      </c>
      <c r="AO9">
        <v>1</v>
      </c>
      <c r="AP9">
        <v>2</v>
      </c>
      <c r="AQ9">
        <v>2</v>
      </c>
      <c r="AR9">
        <v>0</v>
      </c>
      <c r="AS9">
        <v>8</v>
      </c>
      <c r="AT9">
        <v>0</v>
      </c>
      <c r="AU9">
        <v>0.02</v>
      </c>
      <c r="AV9">
        <v>8.5</v>
      </c>
      <c r="BD9">
        <v>8</v>
      </c>
      <c r="BE9" t="s">
        <v>1756</v>
      </c>
      <c r="BF9">
        <v>12</v>
      </c>
      <c r="BG9" t="s">
        <v>1706</v>
      </c>
      <c r="BH9" t="s">
        <v>1757</v>
      </c>
      <c r="BJ9">
        <v>8</v>
      </c>
      <c r="BK9" t="s">
        <v>1800</v>
      </c>
      <c r="BL9">
        <v>20</v>
      </c>
      <c r="BM9" t="s">
        <v>1801</v>
      </c>
      <c r="BN9" t="s">
        <v>1802</v>
      </c>
      <c r="BP9">
        <v>8</v>
      </c>
      <c r="BQ9" t="s">
        <v>1803</v>
      </c>
      <c r="BR9">
        <v>18</v>
      </c>
      <c r="BS9" t="s">
        <v>1801</v>
      </c>
      <c r="BT9" t="s">
        <v>1804</v>
      </c>
      <c r="BV9">
        <v>8</v>
      </c>
      <c r="BW9" t="s">
        <v>1805</v>
      </c>
      <c r="BX9">
        <v>30</v>
      </c>
      <c r="BY9" t="s">
        <v>1806</v>
      </c>
      <c r="BZ9" t="s">
        <v>1807</v>
      </c>
      <c r="CH9" t="s">
        <v>1808</v>
      </c>
      <c r="CI9">
        <v>0.95</v>
      </c>
      <c r="CJ9" t="s">
        <v>1809</v>
      </c>
      <c r="CK9" t="s">
        <v>1616</v>
      </c>
      <c r="CL9" t="s">
        <v>1475</v>
      </c>
      <c r="CM9" t="s">
        <v>1727</v>
      </c>
      <c r="CN9" t="s">
        <v>1810</v>
      </c>
      <c r="CO9" t="s">
        <v>1607</v>
      </c>
      <c r="CP9" t="s">
        <v>1811</v>
      </c>
      <c r="CQ9" t="s">
        <v>1723</v>
      </c>
      <c r="CR9" t="s">
        <v>1812</v>
      </c>
      <c r="CS9" t="s">
        <v>1813</v>
      </c>
      <c r="CT9" t="s">
        <v>1809</v>
      </c>
      <c r="CU9" t="s">
        <v>1814</v>
      </c>
      <c r="CV9" t="s">
        <v>814</v>
      </c>
      <c r="CW9" t="s">
        <v>1815</v>
      </c>
      <c r="CX9" t="s">
        <v>1816</v>
      </c>
      <c r="CY9" t="s">
        <v>1571</v>
      </c>
      <c r="CZ9" t="s">
        <v>1817</v>
      </c>
      <c r="DA9" t="s">
        <v>1462</v>
      </c>
      <c r="DB9" t="s">
        <v>1727</v>
      </c>
      <c r="DC9" t="s">
        <v>1818</v>
      </c>
      <c r="DD9" t="s">
        <v>1332</v>
      </c>
      <c r="DE9">
        <v>93</v>
      </c>
      <c r="DF9">
        <v>94</v>
      </c>
      <c r="DG9">
        <v>95</v>
      </c>
      <c r="DH9">
        <v>96</v>
      </c>
      <c r="DI9">
        <v>97</v>
      </c>
      <c r="DJ9" t="s">
        <v>1809</v>
      </c>
      <c r="DK9" t="s">
        <v>1561</v>
      </c>
      <c r="DL9" t="s">
        <v>814</v>
      </c>
      <c r="DM9" t="s">
        <v>1674</v>
      </c>
      <c r="DN9" t="s">
        <v>1816</v>
      </c>
      <c r="EG9" t="s">
        <v>1819</v>
      </c>
      <c r="EH9" t="s">
        <v>1820</v>
      </c>
      <c r="EI9" t="s">
        <v>1481</v>
      </c>
      <c r="EJ9" t="s">
        <v>1821</v>
      </c>
      <c r="EK9" t="s">
        <v>1822</v>
      </c>
      <c r="EM9" t="s">
        <v>1819</v>
      </c>
      <c r="EN9" t="s">
        <v>1823</v>
      </c>
      <c r="EO9" t="s">
        <v>1732</v>
      </c>
      <c r="EP9" t="s">
        <v>1821</v>
      </c>
      <c r="EQ9" t="s">
        <v>1824</v>
      </c>
      <c r="ES9" t="s">
        <v>1819</v>
      </c>
      <c r="ET9" t="s">
        <v>1825</v>
      </c>
      <c r="EU9" t="s">
        <v>1475</v>
      </c>
      <c r="EV9" t="s">
        <v>1821</v>
      </c>
      <c r="EW9" t="s">
        <v>1826</v>
      </c>
      <c r="EX9">
        <v>65</v>
      </c>
      <c r="EY9" t="s">
        <v>1819</v>
      </c>
      <c r="EZ9" t="s">
        <v>1827</v>
      </c>
      <c r="FA9" t="s">
        <v>1785</v>
      </c>
      <c r="FB9" t="s">
        <v>1821</v>
      </c>
      <c r="FC9" t="s">
        <v>1710</v>
      </c>
    </row>
    <row r="10" spans="1:159" ht="18" customHeight="1">
      <c r="A10" s="191" t="s">
        <v>1828</v>
      </c>
      <c r="B10" s="206" t="s">
        <v>1829</v>
      </c>
      <c r="C10" s="32" t="s">
        <v>1485</v>
      </c>
      <c r="D10" s="32"/>
      <c r="E10" s="32"/>
      <c r="F10" s="32" t="s">
        <v>1830</v>
      </c>
      <c r="G10" s="32"/>
      <c r="H10" s="32"/>
      <c r="I10" s="32"/>
      <c r="J10" s="32"/>
      <c r="K10" s="206" t="s">
        <v>1831</v>
      </c>
      <c r="L10" s="206">
        <v>50</v>
      </c>
      <c r="M10" s="206" t="s">
        <v>1832</v>
      </c>
      <c r="N10" s="206"/>
      <c r="P10" s="210" t="s">
        <v>1832</v>
      </c>
      <c r="Q10" s="210">
        <v>0.44</v>
      </c>
      <c r="R10" s="210">
        <v>0.2</v>
      </c>
      <c r="S10" s="210">
        <v>2.2000000000000002</v>
      </c>
      <c r="T10" s="210">
        <v>6.9</v>
      </c>
      <c r="U10" s="210" t="s">
        <v>1833</v>
      </c>
      <c r="V10" s="210" t="s">
        <v>1834</v>
      </c>
      <c r="W10" s="210" t="s">
        <v>1835</v>
      </c>
      <c r="X10" s="210" t="s">
        <v>1836</v>
      </c>
      <c r="Y10" s="210" t="s">
        <v>1837</v>
      </c>
      <c r="AA10" t="s">
        <v>1838</v>
      </c>
      <c r="AB10">
        <v>20</v>
      </c>
      <c r="AC10">
        <v>5</v>
      </c>
      <c r="AE10" t="s">
        <v>1839</v>
      </c>
      <c r="AN10">
        <v>0</v>
      </c>
      <c r="AO10">
        <v>2</v>
      </c>
      <c r="AP10">
        <v>3</v>
      </c>
      <c r="AQ10">
        <v>5</v>
      </c>
      <c r="AR10">
        <v>1</v>
      </c>
      <c r="AS10">
        <v>25</v>
      </c>
      <c r="AT10">
        <v>0</v>
      </c>
      <c r="AU10">
        <v>2E-3</v>
      </c>
      <c r="AV10">
        <v>8.1999999999999993</v>
      </c>
      <c r="BD10">
        <v>9</v>
      </c>
      <c r="BE10" t="s">
        <v>1840</v>
      </c>
      <c r="BF10">
        <v>21</v>
      </c>
      <c r="BG10" t="s">
        <v>1801</v>
      </c>
      <c r="BH10" t="s">
        <v>1841</v>
      </c>
      <c r="BJ10">
        <v>9</v>
      </c>
      <c r="BK10" t="s">
        <v>1842</v>
      </c>
      <c r="BL10">
        <v>26</v>
      </c>
      <c r="BM10" t="s">
        <v>1647</v>
      </c>
      <c r="BN10" t="s">
        <v>1843</v>
      </c>
      <c r="BP10">
        <v>9</v>
      </c>
      <c r="BQ10" t="s">
        <v>1842</v>
      </c>
      <c r="BR10">
        <v>26</v>
      </c>
      <c r="BS10" t="s">
        <v>1844</v>
      </c>
      <c r="BT10" t="s">
        <v>1843</v>
      </c>
      <c r="BV10">
        <v>9</v>
      </c>
      <c r="BW10" t="s">
        <v>1845</v>
      </c>
      <c r="BX10">
        <v>40</v>
      </c>
      <c r="BY10" t="s">
        <v>1846</v>
      </c>
      <c r="BZ10" t="s">
        <v>1847</v>
      </c>
      <c r="CA10" t="s">
        <v>1848</v>
      </c>
      <c r="CH10" t="s">
        <v>1849</v>
      </c>
      <c r="CI10">
        <v>0.68</v>
      </c>
      <c r="CO10" t="s">
        <v>1850</v>
      </c>
      <c r="CP10" t="s">
        <v>1663</v>
      </c>
      <c r="CQ10" t="s">
        <v>1723</v>
      </c>
      <c r="CR10" t="s">
        <v>1851</v>
      </c>
      <c r="CS10" t="s">
        <v>1852</v>
      </c>
      <c r="CY10" t="s">
        <v>1809</v>
      </c>
      <c r="CZ10" t="s">
        <v>1853</v>
      </c>
      <c r="DA10" t="s">
        <v>1716</v>
      </c>
      <c r="DB10" t="s">
        <v>1815</v>
      </c>
      <c r="DC10" t="s">
        <v>1816</v>
      </c>
      <c r="DD10" t="s">
        <v>1336</v>
      </c>
      <c r="DE10">
        <v>88</v>
      </c>
      <c r="DF10">
        <v>89</v>
      </c>
      <c r="DG10">
        <v>90</v>
      </c>
      <c r="DH10">
        <v>91</v>
      </c>
      <c r="DI10">
        <v>92</v>
      </c>
      <c r="EG10" t="s">
        <v>1854</v>
      </c>
      <c r="EH10" t="s">
        <v>1855</v>
      </c>
      <c r="EI10" t="s">
        <v>1732</v>
      </c>
      <c r="EJ10" t="s">
        <v>1856</v>
      </c>
      <c r="EK10" t="s">
        <v>1857</v>
      </c>
      <c r="EM10" t="s">
        <v>1854</v>
      </c>
      <c r="EN10" t="s">
        <v>1858</v>
      </c>
      <c r="EO10" t="s">
        <v>1475</v>
      </c>
      <c r="EP10" t="s">
        <v>1856</v>
      </c>
      <c r="EQ10" t="s">
        <v>1859</v>
      </c>
      <c r="ES10" t="s">
        <v>1854</v>
      </c>
      <c r="ET10" t="s">
        <v>1860</v>
      </c>
      <c r="EU10" t="s">
        <v>1478</v>
      </c>
      <c r="EV10" t="s">
        <v>1856</v>
      </c>
      <c r="EW10" t="s">
        <v>1861</v>
      </c>
      <c r="EX10">
        <v>70</v>
      </c>
      <c r="EY10" t="s">
        <v>1854</v>
      </c>
      <c r="EZ10" t="s">
        <v>1862</v>
      </c>
      <c r="FA10" t="s">
        <v>1481</v>
      </c>
      <c r="FB10" t="s">
        <v>1856</v>
      </c>
      <c r="FC10" t="s">
        <v>1863</v>
      </c>
    </row>
    <row r="11" spans="1:159" ht="18" customHeight="1">
      <c r="A11" s="51" t="s">
        <v>1864</v>
      </c>
      <c r="B11" s="190" t="s">
        <v>1865</v>
      </c>
      <c r="C11" s="32" t="s">
        <v>1485</v>
      </c>
      <c r="D11" s="32"/>
      <c r="E11" s="32"/>
      <c r="F11" s="32"/>
      <c r="G11" s="32"/>
      <c r="H11" s="32"/>
      <c r="I11" s="32"/>
      <c r="J11" s="32"/>
      <c r="K11" s="190" t="s">
        <v>1866</v>
      </c>
      <c r="L11" s="190">
        <v>100</v>
      </c>
      <c r="M11" s="190" t="s">
        <v>1867</v>
      </c>
      <c r="N11" s="190"/>
      <c r="P11" s="211" t="s">
        <v>1867</v>
      </c>
      <c r="Q11" s="211">
        <v>0.43</v>
      </c>
      <c r="R11" s="211">
        <v>0.21</v>
      </c>
      <c r="S11" s="211">
        <v>2.0499999999999998</v>
      </c>
      <c r="T11" s="211">
        <v>7.1</v>
      </c>
      <c r="U11" s="211" t="s">
        <v>1868</v>
      </c>
      <c r="V11" s="211">
        <v>0</v>
      </c>
      <c r="W11" s="211">
        <v>0</v>
      </c>
      <c r="X11" s="211">
        <v>0</v>
      </c>
      <c r="Y11" s="211">
        <v>2.5</v>
      </c>
      <c r="AA11" t="s">
        <v>1869</v>
      </c>
      <c r="AB11">
        <v>5</v>
      </c>
      <c r="AC11">
        <v>2</v>
      </c>
      <c r="AE11" t="s">
        <v>1870</v>
      </c>
      <c r="AN11">
        <v>1</v>
      </c>
      <c r="AO11">
        <v>5</v>
      </c>
      <c r="AP11">
        <v>8</v>
      </c>
      <c r="AQ11">
        <v>8</v>
      </c>
      <c r="AR11">
        <v>1</v>
      </c>
      <c r="AS11">
        <v>40</v>
      </c>
      <c r="AT11">
        <v>1.4E-2</v>
      </c>
      <c r="AU11">
        <v>2E-3</v>
      </c>
      <c r="AV11">
        <v>9.1999999999999993</v>
      </c>
      <c r="BD11">
        <v>10</v>
      </c>
      <c r="BE11" t="s">
        <v>1842</v>
      </c>
      <c r="BF11">
        <v>28</v>
      </c>
      <c r="BG11" t="s">
        <v>1647</v>
      </c>
      <c r="BH11" t="s">
        <v>1843</v>
      </c>
      <c r="BJ11">
        <v>10</v>
      </c>
      <c r="BK11" t="s">
        <v>1871</v>
      </c>
      <c r="BL11">
        <v>34</v>
      </c>
      <c r="BM11" t="s">
        <v>1806</v>
      </c>
      <c r="BN11" t="s">
        <v>1872</v>
      </c>
      <c r="BP11">
        <v>10</v>
      </c>
      <c r="BQ11" t="s">
        <v>1871</v>
      </c>
      <c r="BR11">
        <v>32</v>
      </c>
      <c r="BS11" t="s">
        <v>1873</v>
      </c>
      <c r="BT11" t="s">
        <v>1874</v>
      </c>
      <c r="CH11" t="s">
        <v>1875</v>
      </c>
      <c r="CI11">
        <v>0.9</v>
      </c>
      <c r="CO11" t="s">
        <v>1876</v>
      </c>
      <c r="CP11" t="s">
        <v>1814</v>
      </c>
      <c r="CQ11" t="s">
        <v>818</v>
      </c>
      <c r="CR11" t="s">
        <v>1815</v>
      </c>
      <c r="CS11" t="s">
        <v>1877</v>
      </c>
      <c r="DD11" t="s">
        <v>1341</v>
      </c>
      <c r="DE11">
        <v>93</v>
      </c>
      <c r="DF11">
        <v>94</v>
      </c>
      <c r="DG11">
        <v>95</v>
      </c>
      <c r="DH11">
        <v>96</v>
      </c>
      <c r="DI11">
        <v>97</v>
      </c>
      <c r="EG11" t="s">
        <v>1878</v>
      </c>
      <c r="EH11" t="s">
        <v>1879</v>
      </c>
      <c r="EI11" t="s">
        <v>1475</v>
      </c>
      <c r="EJ11" t="s">
        <v>1880</v>
      </c>
      <c r="EK11" t="s">
        <v>1881</v>
      </c>
      <c r="EM11" t="s">
        <v>1878</v>
      </c>
      <c r="EN11" t="s">
        <v>1882</v>
      </c>
      <c r="EO11" t="s">
        <v>1478</v>
      </c>
      <c r="EP11" t="s">
        <v>1880</v>
      </c>
      <c r="EQ11" t="s">
        <v>1883</v>
      </c>
      <c r="ES11" t="s">
        <v>1878</v>
      </c>
      <c r="ET11" t="s">
        <v>1884</v>
      </c>
      <c r="EU11" t="s">
        <v>1479</v>
      </c>
      <c r="EV11" t="s">
        <v>1880</v>
      </c>
      <c r="EW11" t="s">
        <v>1885</v>
      </c>
      <c r="EX11">
        <v>75</v>
      </c>
      <c r="EY11" t="s">
        <v>1878</v>
      </c>
      <c r="EZ11" t="s">
        <v>1886</v>
      </c>
      <c r="FA11" t="s">
        <v>1732</v>
      </c>
      <c r="FB11" t="s">
        <v>1880</v>
      </c>
      <c r="FC11" t="s">
        <v>1887</v>
      </c>
    </row>
    <row r="12" spans="1:159" ht="18" customHeight="1">
      <c r="A12" s="191" t="s">
        <v>1888</v>
      </c>
      <c r="B12" s="206" t="s">
        <v>1889</v>
      </c>
      <c r="C12" s="32" t="s">
        <v>1485</v>
      </c>
      <c r="D12" s="32"/>
      <c r="E12" s="32"/>
      <c r="F12" s="32"/>
      <c r="G12" s="32"/>
      <c r="H12" s="32"/>
      <c r="I12" s="32"/>
      <c r="J12" s="32"/>
      <c r="K12" s="206" t="s">
        <v>1890</v>
      </c>
      <c r="L12" s="206">
        <v>110</v>
      </c>
      <c r="M12" s="206" t="s">
        <v>1891</v>
      </c>
      <c r="N12" s="206"/>
      <c r="P12" s="211" t="s">
        <v>1891</v>
      </c>
      <c r="Q12" s="211">
        <v>0.44</v>
      </c>
      <c r="R12" s="211">
        <v>0.2</v>
      </c>
      <c r="S12" s="211">
        <v>2.2000000000000002</v>
      </c>
      <c r="T12" s="211">
        <v>6.8</v>
      </c>
      <c r="U12" s="211" t="s">
        <v>1892</v>
      </c>
      <c r="V12" s="211">
        <v>0</v>
      </c>
      <c r="W12" s="211">
        <v>0</v>
      </c>
      <c r="X12" s="211">
        <v>0</v>
      </c>
      <c r="Y12" s="211">
        <v>100</v>
      </c>
      <c r="AA12" t="s">
        <v>1893</v>
      </c>
      <c r="AB12">
        <v>25</v>
      </c>
      <c r="AC12">
        <v>7</v>
      </c>
      <c r="AN12">
        <v>1</v>
      </c>
      <c r="AO12">
        <v>11</v>
      </c>
      <c r="AP12">
        <v>10</v>
      </c>
      <c r="AQ12">
        <v>12</v>
      </c>
      <c r="AR12">
        <v>1</v>
      </c>
      <c r="AS12">
        <v>65</v>
      </c>
      <c r="AT12">
        <v>0</v>
      </c>
      <c r="AU12">
        <v>1E-3</v>
      </c>
      <c r="AV12">
        <v>8</v>
      </c>
      <c r="BD12">
        <v>11</v>
      </c>
      <c r="BE12" t="s">
        <v>1871</v>
      </c>
      <c r="BF12">
        <v>36</v>
      </c>
      <c r="BG12" t="s">
        <v>1806</v>
      </c>
      <c r="BH12" t="s">
        <v>1872</v>
      </c>
      <c r="BJ12">
        <v>11</v>
      </c>
      <c r="BK12" t="s">
        <v>1845</v>
      </c>
      <c r="BL12">
        <v>44</v>
      </c>
      <c r="BM12" t="s">
        <v>1846</v>
      </c>
      <c r="BN12" t="s">
        <v>1847</v>
      </c>
      <c r="BO12" t="s">
        <v>1848</v>
      </c>
      <c r="BP12">
        <v>11</v>
      </c>
      <c r="BQ12" t="s">
        <v>1845</v>
      </c>
      <c r="BR12">
        <v>50</v>
      </c>
      <c r="BS12" t="s">
        <v>1846</v>
      </c>
      <c r="BT12" t="s">
        <v>1847</v>
      </c>
      <c r="BU12" t="s">
        <v>1848</v>
      </c>
      <c r="CH12" t="s">
        <v>1894</v>
      </c>
      <c r="CI12">
        <v>0.6</v>
      </c>
      <c r="CO12" t="s">
        <v>1809</v>
      </c>
      <c r="CP12" t="s">
        <v>1895</v>
      </c>
      <c r="CQ12" t="s">
        <v>814</v>
      </c>
      <c r="CR12" t="s">
        <v>1896</v>
      </c>
      <c r="CS12" t="s">
        <v>1897</v>
      </c>
      <c r="DD12" t="s">
        <v>1345</v>
      </c>
      <c r="DE12">
        <v>93</v>
      </c>
      <c r="DF12">
        <v>94</v>
      </c>
      <c r="DG12">
        <v>95</v>
      </c>
      <c r="DH12">
        <v>96</v>
      </c>
      <c r="DI12">
        <v>97</v>
      </c>
      <c r="EG12" t="s">
        <v>1898</v>
      </c>
      <c r="EH12" t="s">
        <v>1858</v>
      </c>
      <c r="EI12" t="s">
        <v>1478</v>
      </c>
      <c r="EJ12" t="s">
        <v>1899</v>
      </c>
      <c r="EK12" t="s">
        <v>1900</v>
      </c>
      <c r="EM12" t="s">
        <v>1898</v>
      </c>
      <c r="EN12" t="s">
        <v>1901</v>
      </c>
      <c r="EO12" t="s">
        <v>1479</v>
      </c>
      <c r="EP12" t="s">
        <v>1899</v>
      </c>
      <c r="EQ12" t="s">
        <v>1902</v>
      </c>
      <c r="ES12" t="s">
        <v>1898</v>
      </c>
      <c r="ET12" t="s">
        <v>1903</v>
      </c>
      <c r="EU12" t="s">
        <v>1458</v>
      </c>
      <c r="EV12" t="s">
        <v>1899</v>
      </c>
      <c r="EW12" t="s">
        <v>1530</v>
      </c>
      <c r="EX12">
        <v>80</v>
      </c>
      <c r="EY12" t="s">
        <v>1898</v>
      </c>
      <c r="EZ12" t="s">
        <v>1904</v>
      </c>
      <c r="FA12" t="s">
        <v>1475</v>
      </c>
      <c r="FB12" t="s">
        <v>1899</v>
      </c>
      <c r="FC12" t="s">
        <v>1531</v>
      </c>
    </row>
    <row r="13" spans="1:159" ht="18" customHeight="1">
      <c r="A13" s="51" t="s">
        <v>1905</v>
      </c>
      <c r="B13" s="190" t="s">
        <v>1906</v>
      </c>
      <c r="C13" s="32" t="s">
        <v>1485</v>
      </c>
      <c r="D13" s="32"/>
      <c r="E13" s="32"/>
      <c r="F13" s="32"/>
      <c r="G13" s="32"/>
      <c r="H13" s="32"/>
      <c r="I13" s="32"/>
      <c r="J13" s="32"/>
      <c r="K13" s="190" t="s">
        <v>1907</v>
      </c>
      <c r="L13" s="190">
        <v>150</v>
      </c>
      <c r="M13" s="190" t="s">
        <v>1908</v>
      </c>
      <c r="N13" s="190"/>
      <c r="P13" s="211" t="s">
        <v>1908</v>
      </c>
      <c r="Q13" s="211">
        <v>0.43</v>
      </c>
      <c r="R13" s="211">
        <v>0.21</v>
      </c>
      <c r="S13" s="211">
        <v>2.0499999999999998</v>
      </c>
      <c r="T13" s="211">
        <v>7.3</v>
      </c>
      <c r="U13" s="211" t="s">
        <v>1909</v>
      </c>
      <c r="V13" s="211">
        <v>0</v>
      </c>
      <c r="W13" s="211">
        <v>0</v>
      </c>
      <c r="X13" s="211">
        <v>0</v>
      </c>
      <c r="Y13" s="211">
        <v>100</v>
      </c>
      <c r="AN13">
        <v>1</v>
      </c>
      <c r="AO13">
        <v>21</v>
      </c>
      <c r="AP13">
        <v>15</v>
      </c>
      <c r="AQ13">
        <v>20</v>
      </c>
      <c r="AR13">
        <v>2</v>
      </c>
      <c r="AS13">
        <v>95</v>
      </c>
      <c r="AT13">
        <v>0</v>
      </c>
      <c r="AU13">
        <v>3.0000000000000001E-3</v>
      </c>
      <c r="AV13">
        <v>8.8000000000000007</v>
      </c>
      <c r="BD13">
        <v>12</v>
      </c>
      <c r="BE13" t="s">
        <v>1845</v>
      </c>
      <c r="BF13">
        <v>48</v>
      </c>
      <c r="BG13" t="s">
        <v>1846</v>
      </c>
      <c r="BH13" t="s">
        <v>1847</v>
      </c>
      <c r="BI13" t="s">
        <v>1848</v>
      </c>
      <c r="CH13" t="s">
        <v>1910</v>
      </c>
      <c r="CI13">
        <v>0.55000000000000004</v>
      </c>
      <c r="DD13" t="s">
        <v>1362</v>
      </c>
      <c r="DE13">
        <v>119</v>
      </c>
      <c r="DF13">
        <v>120</v>
      </c>
      <c r="DG13">
        <v>121</v>
      </c>
      <c r="DH13">
        <v>122</v>
      </c>
      <c r="DI13">
        <v>123</v>
      </c>
      <c r="EG13" t="s">
        <v>1911</v>
      </c>
      <c r="EH13" t="s">
        <v>1912</v>
      </c>
      <c r="EI13" t="s">
        <v>1913</v>
      </c>
      <c r="EJ13" t="s">
        <v>1476</v>
      </c>
      <c r="EK13" t="s">
        <v>1914</v>
      </c>
      <c r="EM13" t="s">
        <v>1911</v>
      </c>
      <c r="EN13" t="s">
        <v>1915</v>
      </c>
      <c r="EO13" t="s">
        <v>1916</v>
      </c>
      <c r="EP13" t="s">
        <v>1476</v>
      </c>
      <c r="EQ13" t="s">
        <v>1914</v>
      </c>
      <c r="ES13" t="s">
        <v>1911</v>
      </c>
      <c r="ET13" t="s">
        <v>1917</v>
      </c>
      <c r="EU13" t="s">
        <v>1918</v>
      </c>
      <c r="EV13" t="s">
        <v>1476</v>
      </c>
      <c r="EW13" t="s">
        <v>1914</v>
      </c>
      <c r="EX13">
        <v>85</v>
      </c>
      <c r="EY13" t="s">
        <v>1911</v>
      </c>
      <c r="EZ13" t="s">
        <v>1919</v>
      </c>
      <c r="FA13" t="s">
        <v>1920</v>
      </c>
      <c r="FB13" t="s">
        <v>1476</v>
      </c>
      <c r="FC13" t="s">
        <v>1914</v>
      </c>
    </row>
    <row r="14" spans="1:159" ht="18" customHeight="1">
      <c r="A14" s="191"/>
      <c r="B14" s="206" t="s">
        <v>1921</v>
      </c>
      <c r="C14" s="32" t="s">
        <v>1485</v>
      </c>
      <c r="D14" s="32"/>
      <c r="E14" s="32"/>
      <c r="F14" s="32"/>
      <c r="G14" s="32"/>
      <c r="H14" s="32"/>
      <c r="I14" s="32"/>
      <c r="J14" s="32"/>
      <c r="K14" s="206" t="s">
        <v>1922</v>
      </c>
      <c r="L14" s="206">
        <v>200</v>
      </c>
      <c r="M14" s="206" t="s">
        <v>1923</v>
      </c>
      <c r="N14" s="206"/>
      <c r="P14" s="211" t="s">
        <v>1923</v>
      </c>
      <c r="Q14" s="211">
        <v>0.42</v>
      </c>
      <c r="R14" s="211">
        <v>0.21</v>
      </c>
      <c r="S14" s="211">
        <v>2</v>
      </c>
      <c r="T14" s="211">
        <v>7.4</v>
      </c>
      <c r="U14" s="211" t="s">
        <v>1924</v>
      </c>
      <c r="V14" s="211">
        <v>0</v>
      </c>
      <c r="W14" s="211">
        <v>0</v>
      </c>
      <c r="X14" s="211">
        <v>0</v>
      </c>
      <c r="Y14" s="211">
        <v>100</v>
      </c>
      <c r="AN14">
        <v>1</v>
      </c>
      <c r="AO14">
        <v>6</v>
      </c>
      <c r="AP14">
        <v>8</v>
      </c>
      <c r="AQ14">
        <v>10</v>
      </c>
      <c r="AR14">
        <v>1</v>
      </c>
      <c r="AS14">
        <v>55</v>
      </c>
      <c r="AT14">
        <v>0.03</v>
      </c>
      <c r="AU14">
        <v>1.9E-2</v>
      </c>
      <c r="AV14">
        <v>7.3</v>
      </c>
      <c r="CH14" t="s">
        <v>1925</v>
      </c>
      <c r="CI14">
        <v>0.92</v>
      </c>
      <c r="DD14" t="s">
        <v>1365</v>
      </c>
      <c r="DE14">
        <v>124</v>
      </c>
      <c r="DF14">
        <v>125</v>
      </c>
      <c r="DG14">
        <v>126</v>
      </c>
      <c r="DH14">
        <v>127</v>
      </c>
      <c r="DI14">
        <v>128</v>
      </c>
      <c r="EX14">
        <v>90</v>
      </c>
    </row>
    <row r="15" spans="1:159" ht="18" customHeight="1">
      <c r="A15" s="51"/>
      <c r="B15" s="190" t="s">
        <v>1926</v>
      </c>
      <c r="C15" s="32" t="s">
        <v>1485</v>
      </c>
      <c r="D15" s="32"/>
      <c r="E15" s="32"/>
      <c r="F15" s="32"/>
      <c r="G15" s="32"/>
      <c r="H15" s="32"/>
      <c r="I15" s="32"/>
      <c r="J15" s="32"/>
      <c r="K15" s="190" t="s">
        <v>1927</v>
      </c>
      <c r="L15" s="190">
        <v>225</v>
      </c>
      <c r="M15" s="190" t="s">
        <v>1928</v>
      </c>
      <c r="N15" s="190"/>
      <c r="P15" s="211" t="s">
        <v>1928</v>
      </c>
      <c r="Q15" s="211">
        <v>0.43</v>
      </c>
      <c r="R15" s="211">
        <v>0.2</v>
      </c>
      <c r="S15" s="211">
        <v>2.15</v>
      </c>
      <c r="T15" s="211">
        <v>7</v>
      </c>
      <c r="U15" s="211" t="s">
        <v>1929</v>
      </c>
      <c r="V15" s="211">
        <v>0</v>
      </c>
      <c r="W15" s="211">
        <v>393.7</v>
      </c>
      <c r="X15" s="211">
        <v>0</v>
      </c>
      <c r="Y15" s="211">
        <v>100</v>
      </c>
      <c r="AN15">
        <v>1</v>
      </c>
      <c r="AO15">
        <v>2</v>
      </c>
      <c r="AP15">
        <v>3</v>
      </c>
      <c r="AQ15">
        <v>4</v>
      </c>
      <c r="AR15">
        <v>0</v>
      </c>
      <c r="AS15">
        <v>15</v>
      </c>
      <c r="AT15">
        <v>0</v>
      </c>
      <c r="AU15">
        <v>0</v>
      </c>
      <c r="AV15">
        <v>9.5</v>
      </c>
      <c r="EX15">
        <v>92</v>
      </c>
    </row>
    <row r="16" spans="1:159" ht="18" customHeight="1">
      <c r="A16" s="191"/>
      <c r="B16" s="206" t="s">
        <v>1930</v>
      </c>
      <c r="C16" s="32" t="s">
        <v>1485</v>
      </c>
      <c r="D16" s="32"/>
      <c r="E16" s="32"/>
      <c r="F16" s="32"/>
      <c r="G16" s="32"/>
      <c r="H16" s="32"/>
      <c r="I16" s="32"/>
      <c r="J16" s="32"/>
      <c r="K16" s="206" t="s">
        <v>1931</v>
      </c>
      <c r="L16" s="206">
        <v>300</v>
      </c>
      <c r="M16" s="206" t="s">
        <v>1932</v>
      </c>
      <c r="N16" s="206" t="s">
        <v>1933</v>
      </c>
      <c r="P16" s="211" t="s">
        <v>1932</v>
      </c>
      <c r="Q16" s="211">
        <v>0.38</v>
      </c>
      <c r="R16" s="211">
        <v>0.22</v>
      </c>
      <c r="S16" s="211">
        <v>1.73</v>
      </c>
      <c r="T16" s="211">
        <v>6.3</v>
      </c>
      <c r="U16" s="211" t="s">
        <v>1934</v>
      </c>
      <c r="V16" s="211">
        <v>697.6</v>
      </c>
      <c r="W16" s="211">
        <v>0</v>
      </c>
      <c r="X16" s="211">
        <v>0</v>
      </c>
      <c r="Y16" s="211">
        <v>100</v>
      </c>
      <c r="AN16">
        <v>1</v>
      </c>
      <c r="AO16">
        <v>4</v>
      </c>
      <c r="AP16">
        <v>8</v>
      </c>
      <c r="AQ16">
        <v>25</v>
      </c>
      <c r="AR16">
        <v>2</v>
      </c>
      <c r="AS16">
        <v>130</v>
      </c>
      <c r="AT16">
        <v>0</v>
      </c>
      <c r="AU16">
        <v>0</v>
      </c>
      <c r="AV16">
        <v>7.8</v>
      </c>
      <c r="EX16">
        <v>95</v>
      </c>
    </row>
    <row r="17" spans="1:154" ht="18" customHeight="1">
      <c r="A17" s="51"/>
      <c r="B17" s="190" t="s">
        <v>1935</v>
      </c>
      <c r="C17" s="32" t="s">
        <v>24</v>
      </c>
      <c r="D17" s="32"/>
      <c r="E17" s="32"/>
      <c r="F17" s="32"/>
      <c r="G17" s="32"/>
      <c r="H17" s="32"/>
      <c r="I17" s="32"/>
      <c r="J17" s="32"/>
      <c r="K17" s="190" t="s">
        <v>1936</v>
      </c>
      <c r="L17" s="190">
        <v>500</v>
      </c>
      <c r="M17" s="190" t="s">
        <v>1937</v>
      </c>
      <c r="N17" s="190" t="s">
        <v>1938</v>
      </c>
      <c r="P17" s="211" t="s">
        <v>1937</v>
      </c>
      <c r="Q17" s="211">
        <v>0.43</v>
      </c>
      <c r="R17" s="211">
        <v>0.21</v>
      </c>
      <c r="S17" s="211">
        <v>2.0499999999999998</v>
      </c>
      <c r="T17" s="211">
        <v>8</v>
      </c>
      <c r="U17" s="211" t="s">
        <v>1939</v>
      </c>
      <c r="V17" s="211">
        <v>545.29999999999995</v>
      </c>
      <c r="W17" s="211">
        <v>0</v>
      </c>
      <c r="X17" s="211">
        <v>0</v>
      </c>
      <c r="Y17" s="211">
        <v>100</v>
      </c>
      <c r="AN17">
        <v>3</v>
      </c>
      <c r="AO17">
        <v>92</v>
      </c>
      <c r="AP17">
        <v>80</v>
      </c>
      <c r="AQ17">
        <v>50</v>
      </c>
      <c r="AR17">
        <v>2</v>
      </c>
      <c r="AS17">
        <v>165</v>
      </c>
      <c r="AT17">
        <v>0.01</v>
      </c>
      <c r="AU17">
        <v>0.01</v>
      </c>
      <c r="AV17">
        <v>8.1999999999999993</v>
      </c>
      <c r="EX17">
        <v>100</v>
      </c>
    </row>
    <row r="18" spans="1:154" ht="18" customHeight="1">
      <c r="A18" s="191"/>
      <c r="B18" s="206" t="s">
        <v>1940</v>
      </c>
      <c r="C18" s="32" t="s">
        <v>24</v>
      </c>
      <c r="D18" s="32"/>
      <c r="E18" s="32"/>
      <c r="F18" s="32"/>
      <c r="G18" s="32"/>
      <c r="H18" s="32"/>
      <c r="I18" s="32"/>
      <c r="J18" s="32"/>
      <c r="K18" s="206" t="s">
        <v>1941</v>
      </c>
      <c r="L18" s="206">
        <v>1000</v>
      </c>
      <c r="M18" s="206" t="s">
        <v>1942</v>
      </c>
      <c r="N18" s="206" t="s">
        <v>1943</v>
      </c>
      <c r="P18" s="211" t="s">
        <v>1942</v>
      </c>
      <c r="Q18" s="211">
        <v>0.42</v>
      </c>
      <c r="R18" s="211">
        <v>0.21</v>
      </c>
      <c r="S18" s="211">
        <v>2</v>
      </c>
      <c r="T18" s="211">
        <v>7.2</v>
      </c>
      <c r="U18" s="211" t="s">
        <v>1944</v>
      </c>
      <c r="V18" s="211">
        <v>719.3</v>
      </c>
      <c r="W18" s="211">
        <v>0</v>
      </c>
      <c r="X18" s="211">
        <v>211.9</v>
      </c>
      <c r="Y18" s="211">
        <v>100</v>
      </c>
      <c r="AN18">
        <v>4</v>
      </c>
      <c r="AO18">
        <v>33</v>
      </c>
      <c r="AP18">
        <v>30</v>
      </c>
      <c r="AQ18">
        <v>25</v>
      </c>
      <c r="AR18">
        <v>2</v>
      </c>
      <c r="AS18">
        <v>135</v>
      </c>
      <c r="AT18">
        <v>0.01</v>
      </c>
      <c r="AU18">
        <v>5.0000000000000001E-3</v>
      </c>
      <c r="AV18">
        <v>8.8000000000000007</v>
      </c>
    </row>
    <row r="19" spans="1:154" ht="18" customHeight="1">
      <c r="A19" s="51"/>
      <c r="B19" s="190" t="s">
        <v>1945</v>
      </c>
      <c r="C19" s="32" t="s">
        <v>1590</v>
      </c>
      <c r="D19" s="32"/>
      <c r="E19" s="32"/>
      <c r="F19" s="32"/>
      <c r="G19" s="32"/>
      <c r="H19" s="32"/>
      <c r="I19" s="32"/>
      <c r="J19" s="32"/>
      <c r="K19" s="190" t="s">
        <v>1222</v>
      </c>
      <c r="L19" s="190">
        <v>0</v>
      </c>
      <c r="M19" s="190" t="s">
        <v>1946</v>
      </c>
      <c r="N19" s="190" t="s">
        <v>1947</v>
      </c>
      <c r="P19" t="s">
        <v>1946</v>
      </c>
      <c r="Q19">
        <v>0.43</v>
      </c>
      <c r="R19">
        <v>0.2</v>
      </c>
      <c r="S19">
        <v>2.15</v>
      </c>
      <c r="T19">
        <v>7.1</v>
      </c>
      <c r="U19" t="s">
        <v>1948</v>
      </c>
      <c r="AN19">
        <v>3</v>
      </c>
      <c r="AO19">
        <v>7</v>
      </c>
      <c r="AP19">
        <v>10</v>
      </c>
      <c r="AQ19">
        <v>20</v>
      </c>
      <c r="AR19">
        <v>2</v>
      </c>
      <c r="AS19">
        <v>110</v>
      </c>
      <c r="AT19">
        <v>0</v>
      </c>
      <c r="AU19">
        <v>1E-3</v>
      </c>
      <c r="AV19">
        <v>9</v>
      </c>
    </row>
    <row r="20" spans="1:154" ht="18" customHeight="1">
      <c r="A20" s="191"/>
      <c r="B20" s="206" t="s">
        <v>1949</v>
      </c>
      <c r="C20" s="32" t="s">
        <v>1485</v>
      </c>
      <c r="D20" s="32"/>
      <c r="E20" s="32"/>
      <c r="F20" s="32"/>
      <c r="G20" s="32"/>
      <c r="H20" s="32"/>
      <c r="I20" s="32"/>
      <c r="J20" s="32"/>
      <c r="K20" s="32"/>
      <c r="L20" s="32"/>
      <c r="M20" s="206" t="s">
        <v>1950</v>
      </c>
      <c r="N20" s="206" t="s">
        <v>1951</v>
      </c>
      <c r="P20" s="212" t="s">
        <v>1950</v>
      </c>
      <c r="Q20">
        <v>0.44</v>
      </c>
      <c r="R20">
        <v>0.2</v>
      </c>
      <c r="S20">
        <v>2.2000000000000002</v>
      </c>
      <c r="T20">
        <v>7</v>
      </c>
      <c r="U20" t="s">
        <v>1952</v>
      </c>
      <c r="AN20">
        <v>1</v>
      </c>
      <c r="AO20">
        <v>2</v>
      </c>
      <c r="AP20">
        <v>4</v>
      </c>
      <c r="AQ20">
        <v>5</v>
      </c>
      <c r="AR20">
        <v>0</v>
      </c>
      <c r="AS20">
        <v>20</v>
      </c>
      <c r="AT20">
        <v>0</v>
      </c>
      <c r="AU20">
        <v>2.0000000000000001E-4</v>
      </c>
      <c r="AV20">
        <v>7.5</v>
      </c>
    </row>
    <row r="21" spans="1:154" ht="18" customHeight="1">
      <c r="A21" s="51"/>
      <c r="B21" s="190" t="s">
        <v>1953</v>
      </c>
      <c r="C21" s="32" t="s">
        <v>1485</v>
      </c>
      <c r="D21" s="32"/>
      <c r="E21" s="32"/>
      <c r="F21" s="32"/>
      <c r="G21" s="32"/>
      <c r="H21" s="32"/>
      <c r="I21" s="32"/>
      <c r="J21" s="32"/>
      <c r="K21" s="32"/>
      <c r="L21" s="32"/>
      <c r="M21" s="190" t="s">
        <v>1954</v>
      </c>
      <c r="N21" s="190" t="s">
        <v>1955</v>
      </c>
      <c r="P21" s="210" t="s">
        <v>1954</v>
      </c>
      <c r="Q21" s="210">
        <v>0.44</v>
      </c>
      <c r="R21" s="210">
        <v>0.2</v>
      </c>
      <c r="S21" s="210">
        <v>2.2000000000000002</v>
      </c>
      <c r="T21">
        <v>6.9</v>
      </c>
      <c r="U21" t="s">
        <v>1956</v>
      </c>
      <c r="AN21">
        <v>3</v>
      </c>
      <c r="AO21">
        <v>44</v>
      </c>
      <c r="AP21">
        <v>30</v>
      </c>
      <c r="AQ21">
        <v>15</v>
      </c>
      <c r="AR21">
        <v>1</v>
      </c>
      <c r="AS21">
        <v>55</v>
      </c>
      <c r="AT21">
        <v>0.01</v>
      </c>
      <c r="AU21">
        <v>0.01</v>
      </c>
      <c r="AV21">
        <v>7.8</v>
      </c>
    </row>
    <row r="22" spans="1:154" ht="15" customHeight="1">
      <c r="A22" s="191"/>
      <c r="B22" s="206" t="s">
        <v>1957</v>
      </c>
      <c r="C22" s="32" t="s">
        <v>24</v>
      </c>
      <c r="D22" s="32"/>
      <c r="E22" s="32"/>
      <c r="F22" s="32"/>
      <c r="G22" s="32"/>
      <c r="H22" s="32"/>
      <c r="I22" s="32"/>
      <c r="J22" s="32"/>
      <c r="K22" s="32"/>
      <c r="L22" s="32"/>
      <c r="M22" s="206" t="s">
        <v>1958</v>
      </c>
      <c r="N22" s="206" t="s">
        <v>1959</v>
      </c>
      <c r="P22" s="211" t="s">
        <v>1958</v>
      </c>
      <c r="Q22" s="211">
        <v>0.43</v>
      </c>
      <c r="R22" s="211">
        <v>0.21</v>
      </c>
      <c r="S22" s="211">
        <v>2.0499999999999998</v>
      </c>
      <c r="T22">
        <v>7.2</v>
      </c>
      <c r="U22" t="s">
        <v>1960</v>
      </c>
      <c r="AN22">
        <v>0</v>
      </c>
      <c r="AO22">
        <v>0</v>
      </c>
      <c r="AP22">
        <v>0</v>
      </c>
      <c r="AQ22">
        <v>0</v>
      </c>
      <c r="AR22">
        <v>0</v>
      </c>
      <c r="AS22">
        <v>0</v>
      </c>
      <c r="AT22">
        <v>0</v>
      </c>
      <c r="AU22">
        <v>0</v>
      </c>
      <c r="AV22">
        <v>6</v>
      </c>
    </row>
    <row r="23" spans="1:154" ht="15" customHeight="1">
      <c r="B23" t="s">
        <v>1961</v>
      </c>
      <c r="C23" t="s">
        <v>1590</v>
      </c>
      <c r="M23" t="s">
        <v>1962</v>
      </c>
      <c r="P23" s="211" t="s">
        <v>1962</v>
      </c>
      <c r="Q23" s="211">
        <v>0.42</v>
      </c>
      <c r="R23" s="211">
        <v>0.17</v>
      </c>
      <c r="S23" s="211">
        <v>2.4700000000000002</v>
      </c>
      <c r="T23">
        <v>7</v>
      </c>
      <c r="U23" t="s">
        <v>1963</v>
      </c>
      <c r="AN23">
        <v>5</v>
      </c>
      <c r="AO23">
        <v>25</v>
      </c>
      <c r="AP23">
        <v>30</v>
      </c>
      <c r="AQ23">
        <v>40</v>
      </c>
      <c r="AR23">
        <v>3</v>
      </c>
      <c r="AS23">
        <v>180</v>
      </c>
      <c r="AT23">
        <v>0.3</v>
      </c>
      <c r="AU23">
        <v>0.05</v>
      </c>
      <c r="AV23">
        <v>7.2</v>
      </c>
    </row>
    <row r="24" spans="1:154" ht="15" customHeight="1">
      <c r="B24" t="s">
        <v>1964</v>
      </c>
      <c r="C24" t="s">
        <v>1590</v>
      </c>
      <c r="M24" t="s">
        <v>1965</v>
      </c>
      <c r="P24" s="211" t="s">
        <v>1965</v>
      </c>
      <c r="Q24" s="211">
        <v>0.41</v>
      </c>
      <c r="R24" s="211">
        <v>0.21</v>
      </c>
      <c r="S24" s="211">
        <v>1.95</v>
      </c>
      <c r="T24">
        <v>7.8</v>
      </c>
      <c r="U24" t="s">
        <v>1966</v>
      </c>
      <c r="AN24">
        <v>2</v>
      </c>
      <c r="AO24">
        <v>10</v>
      </c>
      <c r="AP24">
        <v>10</v>
      </c>
      <c r="AQ24">
        <v>12</v>
      </c>
      <c r="AR24">
        <v>1</v>
      </c>
      <c r="AS24">
        <v>60</v>
      </c>
      <c r="AT24">
        <v>0.02</v>
      </c>
      <c r="AU24">
        <v>0.01</v>
      </c>
      <c r="AV24">
        <v>7.2</v>
      </c>
    </row>
    <row r="25" spans="1:154" ht="15" customHeight="1">
      <c r="B25" t="s">
        <v>1967</v>
      </c>
      <c r="C25" t="s">
        <v>24</v>
      </c>
      <c r="M25" t="s">
        <v>1968</v>
      </c>
      <c r="P25" s="211" t="s">
        <v>1968</v>
      </c>
      <c r="Q25" s="211">
        <v>0.42</v>
      </c>
      <c r="R25" s="211">
        <v>0.2</v>
      </c>
      <c r="S25" s="211">
        <v>2.1</v>
      </c>
      <c r="T25">
        <v>7.3</v>
      </c>
      <c r="U25" t="s">
        <v>1969</v>
      </c>
      <c r="AK25" t="s">
        <v>1970</v>
      </c>
      <c r="AL25">
        <v>35</v>
      </c>
      <c r="AM25">
        <v>10</v>
      </c>
      <c r="AN25">
        <v>3</v>
      </c>
      <c r="AO25">
        <v>20</v>
      </c>
      <c r="AP25">
        <v>20</v>
      </c>
      <c r="AQ25">
        <v>25</v>
      </c>
      <c r="AR25">
        <v>2</v>
      </c>
      <c r="AS25">
        <v>130</v>
      </c>
      <c r="AT25">
        <v>0.03</v>
      </c>
      <c r="AU25">
        <v>0.02</v>
      </c>
      <c r="AV25">
        <v>7.5</v>
      </c>
    </row>
    <row r="26" spans="1:154" ht="15" customHeight="1">
      <c r="B26" t="s">
        <v>1971</v>
      </c>
      <c r="C26" t="s">
        <v>1485</v>
      </c>
      <c r="M26" t="s">
        <v>1933</v>
      </c>
      <c r="P26" s="211" t="s">
        <v>1933</v>
      </c>
      <c r="Q26" s="211">
        <v>0.42</v>
      </c>
      <c r="R26" s="211">
        <v>0.2</v>
      </c>
      <c r="S26" s="211">
        <v>2.1</v>
      </c>
      <c r="T26">
        <v>7.2</v>
      </c>
      <c r="U26" t="s">
        <v>1972</v>
      </c>
      <c r="AK26" t="s">
        <v>1973</v>
      </c>
      <c r="AL26">
        <v>60</v>
      </c>
      <c r="AM26">
        <v>20</v>
      </c>
      <c r="AN26">
        <v>5</v>
      </c>
      <c r="AO26">
        <v>35</v>
      </c>
      <c r="AP26">
        <v>35</v>
      </c>
      <c r="AQ26">
        <v>45</v>
      </c>
      <c r="AR26">
        <v>3</v>
      </c>
      <c r="AS26">
        <v>240</v>
      </c>
      <c r="AT26">
        <v>0.05</v>
      </c>
      <c r="AU26">
        <v>0.03</v>
      </c>
      <c r="AV26">
        <v>7.8</v>
      </c>
    </row>
    <row r="27" spans="1:154" ht="15" customHeight="1">
      <c r="B27" t="s">
        <v>1974</v>
      </c>
      <c r="C27" t="s">
        <v>1485</v>
      </c>
      <c r="M27" t="s">
        <v>1975</v>
      </c>
      <c r="P27" t="s">
        <v>1975</v>
      </c>
      <c r="Q27">
        <v>0.41</v>
      </c>
      <c r="R27">
        <v>0.21</v>
      </c>
      <c r="S27">
        <v>1.95</v>
      </c>
      <c r="T27">
        <v>7.5</v>
      </c>
      <c r="U27" t="s">
        <v>1976</v>
      </c>
      <c r="AK27" t="s">
        <v>1977</v>
      </c>
      <c r="AL27">
        <v>10</v>
      </c>
      <c r="AM27">
        <v>3</v>
      </c>
      <c r="AN27">
        <v>2</v>
      </c>
      <c r="AO27">
        <v>8</v>
      </c>
      <c r="AP27">
        <v>10</v>
      </c>
      <c r="AQ27">
        <v>5</v>
      </c>
      <c r="AR27">
        <v>0</v>
      </c>
      <c r="AS27">
        <v>38</v>
      </c>
      <c r="AT27">
        <v>0.01</v>
      </c>
      <c r="AU27">
        <v>0.01</v>
      </c>
      <c r="AV27">
        <v>8.8000000000000007</v>
      </c>
    </row>
    <row r="28" spans="1:154" ht="15" customHeight="1">
      <c r="B28" t="s">
        <v>1978</v>
      </c>
      <c r="C28" t="s">
        <v>1485</v>
      </c>
      <c r="M28" t="s">
        <v>1979</v>
      </c>
      <c r="P28" s="212" t="s">
        <v>1979</v>
      </c>
      <c r="Q28">
        <v>0.42</v>
      </c>
      <c r="R28">
        <v>0.19</v>
      </c>
      <c r="S28">
        <v>2.21</v>
      </c>
      <c r="T28">
        <v>7.1</v>
      </c>
      <c r="U28" t="s">
        <v>1980</v>
      </c>
      <c r="AK28" t="s">
        <v>1981</v>
      </c>
      <c r="AL28">
        <v>8.4</v>
      </c>
      <c r="AM28">
        <v>0.9</v>
      </c>
      <c r="AN28">
        <v>0.6</v>
      </c>
      <c r="AO28">
        <v>1.5</v>
      </c>
      <c r="AP28">
        <v>3.7</v>
      </c>
      <c r="AQ28">
        <v>16</v>
      </c>
      <c r="AR28">
        <v>0.6</v>
      </c>
      <c r="AS28">
        <v>26</v>
      </c>
      <c r="AT28">
        <v>0.01</v>
      </c>
      <c r="AU28">
        <v>0.01</v>
      </c>
      <c r="AV28">
        <v>7.7</v>
      </c>
    </row>
    <row r="29" spans="1:154" ht="15" customHeight="1">
      <c r="B29" t="s">
        <v>1982</v>
      </c>
      <c r="C29" t="s">
        <v>1485</v>
      </c>
      <c r="M29" t="s">
        <v>1983</v>
      </c>
      <c r="P29" t="s">
        <v>1983</v>
      </c>
      <c r="Q29">
        <v>0.42</v>
      </c>
      <c r="R29">
        <v>0.2</v>
      </c>
      <c r="S29">
        <v>2.1</v>
      </c>
      <c r="T29">
        <v>7.3</v>
      </c>
      <c r="U29" t="s">
        <v>1984</v>
      </c>
      <c r="AK29" t="s">
        <v>1985</v>
      </c>
      <c r="AL29">
        <v>54</v>
      </c>
      <c r="AM29">
        <v>6</v>
      </c>
      <c r="AN29">
        <v>2</v>
      </c>
      <c r="AO29">
        <v>34</v>
      </c>
      <c r="AP29">
        <v>61</v>
      </c>
      <c r="AQ29">
        <v>28</v>
      </c>
      <c r="AR29">
        <v>1</v>
      </c>
      <c r="AS29">
        <v>182</v>
      </c>
      <c r="AT29">
        <v>0.01</v>
      </c>
      <c r="AU29">
        <v>0.01</v>
      </c>
      <c r="AV29">
        <v>7.6</v>
      </c>
    </row>
    <row r="30" spans="1:154" ht="15" customHeight="1">
      <c r="B30" t="s">
        <v>1986</v>
      </c>
      <c r="C30" t="s">
        <v>1485</v>
      </c>
      <c r="M30" t="s">
        <v>1987</v>
      </c>
      <c r="P30" t="s">
        <v>1987</v>
      </c>
      <c r="Q30">
        <v>0.43</v>
      </c>
      <c r="R30">
        <v>0.19</v>
      </c>
      <c r="S30">
        <v>2.2599999999999998</v>
      </c>
      <c r="T30">
        <v>7</v>
      </c>
      <c r="U30" t="s">
        <v>1988</v>
      </c>
    </row>
    <row r="31" spans="1:154" ht="15" customHeight="1">
      <c r="B31" t="s">
        <v>1989</v>
      </c>
      <c r="C31" t="s">
        <v>1485</v>
      </c>
      <c r="M31" t="s">
        <v>1990</v>
      </c>
      <c r="P31" t="s">
        <v>1990</v>
      </c>
      <c r="Q31">
        <v>0.43</v>
      </c>
      <c r="R31">
        <v>0.19</v>
      </c>
      <c r="S31">
        <v>2.2599999999999998</v>
      </c>
      <c r="T31">
        <v>7.1</v>
      </c>
      <c r="U31" t="s">
        <v>1991</v>
      </c>
    </row>
    <row r="32" spans="1:154" ht="15" customHeight="1">
      <c r="B32" t="s">
        <v>1992</v>
      </c>
      <c r="C32" t="s">
        <v>1485</v>
      </c>
      <c r="M32" t="s">
        <v>1993</v>
      </c>
      <c r="P32" t="s">
        <v>1993</v>
      </c>
      <c r="Q32">
        <v>0.4</v>
      </c>
      <c r="R32">
        <v>0.18</v>
      </c>
      <c r="S32">
        <v>2.2200000000000002</v>
      </c>
      <c r="T32">
        <v>7.2</v>
      </c>
      <c r="U32" t="s">
        <v>1994</v>
      </c>
    </row>
    <row r="33" spans="2:21" ht="15" customHeight="1">
      <c r="B33" t="s">
        <v>1995</v>
      </c>
      <c r="C33" t="s">
        <v>1485</v>
      </c>
      <c r="M33" t="s">
        <v>1996</v>
      </c>
      <c r="P33" t="s">
        <v>1996</v>
      </c>
      <c r="Q33">
        <v>0.4</v>
      </c>
      <c r="R33">
        <v>0.22</v>
      </c>
      <c r="S33">
        <v>1.82</v>
      </c>
      <c r="T33">
        <v>7.8</v>
      </c>
      <c r="U33" t="s">
        <v>1997</v>
      </c>
    </row>
    <row r="34" spans="2:21" ht="15" customHeight="1">
      <c r="B34" t="s">
        <v>1998</v>
      </c>
      <c r="C34" t="s">
        <v>24</v>
      </c>
      <c r="M34" t="s">
        <v>1999</v>
      </c>
      <c r="P34" s="212" t="s">
        <v>1999</v>
      </c>
      <c r="Q34">
        <v>0.41</v>
      </c>
      <c r="R34">
        <v>0.21</v>
      </c>
      <c r="S34">
        <v>1.95</v>
      </c>
      <c r="T34">
        <v>7.5</v>
      </c>
      <c r="U34" t="s">
        <v>2000</v>
      </c>
    </row>
    <row r="35" spans="2:21" ht="15" customHeight="1">
      <c r="B35" t="s">
        <v>2001</v>
      </c>
      <c r="C35" t="s">
        <v>1590</v>
      </c>
      <c r="M35" t="s">
        <v>2002</v>
      </c>
      <c r="P35" t="s">
        <v>2002</v>
      </c>
      <c r="Q35">
        <v>0.42</v>
      </c>
      <c r="R35">
        <v>0.2</v>
      </c>
      <c r="S35">
        <v>2.1</v>
      </c>
      <c r="T35">
        <v>7.3</v>
      </c>
      <c r="U35" t="s">
        <v>2003</v>
      </c>
    </row>
    <row r="36" spans="2:21" ht="15" customHeight="1">
      <c r="M36" t="s">
        <v>2004</v>
      </c>
      <c r="P36" t="s">
        <v>2004</v>
      </c>
      <c r="Q36">
        <v>0.42</v>
      </c>
      <c r="R36">
        <v>0.2</v>
      </c>
      <c r="S36">
        <v>2.1</v>
      </c>
      <c r="T36">
        <v>7.2</v>
      </c>
      <c r="U36" t="s">
        <v>2005</v>
      </c>
    </row>
    <row r="37" spans="2:21" ht="15" customHeight="1">
      <c r="M37" t="s">
        <v>2006</v>
      </c>
      <c r="P37" t="s">
        <v>2006</v>
      </c>
      <c r="Q37">
        <v>0.41</v>
      </c>
      <c r="R37">
        <v>0.21</v>
      </c>
      <c r="S37">
        <v>1.95</v>
      </c>
      <c r="T37">
        <v>7.4</v>
      </c>
      <c r="U37" t="s">
        <v>2007</v>
      </c>
    </row>
    <row r="38" spans="2:21" ht="15" customHeight="1">
      <c r="M38" t="s">
        <v>2008</v>
      </c>
      <c r="P38" s="212" t="s">
        <v>2008</v>
      </c>
      <c r="Q38">
        <v>0.4</v>
      </c>
      <c r="R38">
        <v>0.22</v>
      </c>
      <c r="S38">
        <v>1.82</v>
      </c>
      <c r="T38">
        <v>7.6</v>
      </c>
      <c r="U38" t="s">
        <v>2009</v>
      </c>
    </row>
    <row r="39" spans="2:21" ht="15" customHeight="1">
      <c r="M39" t="s">
        <v>2010</v>
      </c>
      <c r="P39" t="s">
        <v>2010</v>
      </c>
      <c r="Q39">
        <v>0.4</v>
      </c>
      <c r="R39">
        <v>0.22</v>
      </c>
      <c r="S39">
        <v>1.82</v>
      </c>
      <c r="T39">
        <v>7.7</v>
      </c>
      <c r="U39" t="s">
        <v>2011</v>
      </c>
    </row>
    <row r="40" spans="2:21" ht="15" customHeight="1">
      <c r="M40" t="s">
        <v>2012</v>
      </c>
      <c r="P40" t="s">
        <v>2012</v>
      </c>
      <c r="Q40">
        <v>0.42</v>
      </c>
      <c r="R40">
        <v>0.2</v>
      </c>
      <c r="S40">
        <v>2.1</v>
      </c>
      <c r="T40">
        <v>7.3</v>
      </c>
      <c r="U40" t="s">
        <v>2013</v>
      </c>
    </row>
    <row r="41" spans="2:21" ht="15" customHeight="1">
      <c r="M41" t="s">
        <v>2014</v>
      </c>
      <c r="P41" t="s">
        <v>2014</v>
      </c>
      <c r="Q41">
        <v>0.4</v>
      </c>
      <c r="R41">
        <v>0.22</v>
      </c>
      <c r="S41">
        <v>1.82</v>
      </c>
      <c r="T41">
        <v>7.5</v>
      </c>
      <c r="U41" t="s">
        <v>2015</v>
      </c>
    </row>
    <row r="42" spans="2:21" ht="15" customHeight="1">
      <c r="M42" t="s">
        <v>2016</v>
      </c>
      <c r="P42" t="s">
        <v>2016</v>
      </c>
      <c r="Q42">
        <v>0.38</v>
      </c>
      <c r="R42">
        <v>0.23</v>
      </c>
      <c r="S42">
        <v>1.65</v>
      </c>
      <c r="T42">
        <v>8</v>
      </c>
      <c r="U42" t="s">
        <v>2017</v>
      </c>
    </row>
    <row r="43" spans="2:21" ht="15" customHeight="1">
      <c r="M43" t="s">
        <v>2018</v>
      </c>
      <c r="P43" t="s">
        <v>2018</v>
      </c>
      <c r="Q43">
        <v>0.42</v>
      </c>
      <c r="R43">
        <v>0.18</v>
      </c>
      <c r="S43">
        <v>2.33</v>
      </c>
      <c r="T43">
        <v>7.2</v>
      </c>
      <c r="U43" t="s">
        <v>2019</v>
      </c>
    </row>
    <row r="44" spans="2:21" ht="15" customHeight="1">
      <c r="M44" t="s">
        <v>2020</v>
      </c>
      <c r="P44" t="s">
        <v>2020</v>
      </c>
      <c r="Q44">
        <v>0.42</v>
      </c>
      <c r="R44">
        <v>0.2</v>
      </c>
      <c r="S44">
        <v>2.1</v>
      </c>
      <c r="T44">
        <v>7.4</v>
      </c>
      <c r="U44" t="s">
        <v>2021</v>
      </c>
    </row>
    <row r="45" spans="2:21" ht="15" customHeight="1">
      <c r="M45" t="s">
        <v>2022</v>
      </c>
      <c r="P45" t="s">
        <v>2022</v>
      </c>
      <c r="Q45">
        <v>0.41</v>
      </c>
      <c r="R45">
        <v>0.21</v>
      </c>
      <c r="S45">
        <v>1.95</v>
      </c>
      <c r="T45">
        <v>7.5</v>
      </c>
      <c r="U45" t="s">
        <v>2023</v>
      </c>
    </row>
    <row r="46" spans="2:21" ht="15" customHeight="1">
      <c r="M46" t="s">
        <v>2024</v>
      </c>
      <c r="P46" t="s">
        <v>2024</v>
      </c>
      <c r="Q46">
        <v>0.41</v>
      </c>
      <c r="R46">
        <v>0.21</v>
      </c>
      <c r="S46">
        <v>1.97</v>
      </c>
      <c r="T46">
        <v>7.5</v>
      </c>
      <c r="U46" t="s">
        <v>2025</v>
      </c>
    </row>
    <row r="47" spans="2:21" ht="15" customHeight="1">
      <c r="M47" t="s">
        <v>2026</v>
      </c>
      <c r="P47" t="s">
        <v>2026</v>
      </c>
      <c r="Q47">
        <v>0.4</v>
      </c>
      <c r="R47">
        <v>0.22</v>
      </c>
      <c r="S47">
        <v>1.82</v>
      </c>
      <c r="T47">
        <v>7.7</v>
      </c>
      <c r="U47" t="s">
        <v>2027</v>
      </c>
    </row>
    <row r="48" spans="2:21" ht="15" customHeight="1">
      <c r="M48" t="s">
        <v>2028</v>
      </c>
      <c r="P48" t="s">
        <v>2028</v>
      </c>
      <c r="Q48">
        <v>0.41</v>
      </c>
      <c r="R48">
        <v>0.21</v>
      </c>
      <c r="S48">
        <v>1.95</v>
      </c>
      <c r="T48">
        <v>7.5</v>
      </c>
      <c r="U48" t="s">
        <v>2029</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Guide</vt:lpstr>
      <vt:lpstr>Recipe</vt:lpstr>
      <vt:lpstr>Plan</vt:lpstr>
      <vt:lpstr>Quick Calc</vt:lpstr>
      <vt:lpstr>Koji Ferments</vt:lpstr>
      <vt:lpstr>Soak Calc</vt:lpstr>
      <vt:lpstr>Yeast Calc</vt:lpstr>
      <vt:lpstr>Pasteurization Calc</vt:lpstr>
      <vt:lpstr>Troubleshooting</vt:lpstr>
      <vt:lpstr>_Allocations</vt:lpstr>
      <vt:lpstr>_Inputs</vt:lpstr>
      <vt:lpstr>_Presets</vt:lpstr>
      <vt:lpstr>_Constants</vt:lpstr>
      <vt:lpstr>_MotoConfig</vt:lpstr>
      <vt:lpstr>_Lookups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Jesse McCree</cp:lastModifiedBy>
  <dcterms:created xsi:type="dcterms:W3CDTF">2025-12-16T20:15:35Z</dcterms:created>
  <dcterms:modified xsi:type="dcterms:W3CDTF">2025-12-16T22:05:30Z</dcterms:modified>
</cp:coreProperties>
</file>